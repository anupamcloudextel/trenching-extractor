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renching-extractor-fresh\trenching-extractor-fresh\"/>
    </mc:Choice>
  </mc:AlternateContent>
  <xr:revisionPtr revIDLastSave="0" documentId="13_ncr:1_{6F64EC45-5A3F-4AD2-A94D-7F667E7EE343}" xr6:coauthVersionLast="47" xr6:coauthVersionMax="47" xr10:uidLastSave="{00000000-0000-0000-0000-000000000000}"/>
  <bookViews>
    <workbookView xWindow="-110" yWindow="-110" windowWidth="19420" windowHeight="10300" tabRatio="582" activeTab="1" xr2:uid="{4249EB08-2D4A-4E66-8876-1FE50873D50F}"/>
  </bookViews>
  <sheets>
    <sheet name="Summary" sheetId="2" r:id="rId1"/>
    <sheet name="data-shee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F23" i="1"/>
  <c r="K163" i="1"/>
  <c r="K166" i="1" s="1"/>
  <c r="F163" i="1" s="1"/>
  <c r="D161" i="1"/>
  <c r="K155" i="1"/>
  <c r="K158" i="1" s="1"/>
  <c r="F155" i="1" s="1"/>
  <c r="D153" i="1"/>
  <c r="K147" i="1"/>
  <c r="K150" i="1" s="1"/>
  <c r="F147" i="1" s="1"/>
  <c r="D145" i="1"/>
  <c r="K139" i="1"/>
  <c r="K142" i="1" s="1"/>
  <c r="F139" i="1" s="1"/>
  <c r="D137" i="1"/>
  <c r="O161" i="1" l="1"/>
  <c r="F164" i="1"/>
  <c r="F165" i="1"/>
  <c r="F161" i="1" s="1"/>
  <c r="O153" i="1"/>
  <c r="F157" i="1"/>
  <c r="F156" i="1"/>
  <c r="F153" i="1" s="1"/>
  <c r="O145" i="1"/>
  <c r="F148" i="1"/>
  <c r="F149" i="1"/>
  <c r="O137" i="1"/>
  <c r="F140" i="1"/>
  <c r="F141" i="1"/>
  <c r="K131" i="1"/>
  <c r="K134" i="1" s="1"/>
  <c r="F131" i="1" s="1"/>
  <c r="D129" i="1"/>
  <c r="K123" i="1"/>
  <c r="K126" i="1" s="1"/>
  <c r="F123" i="1" s="1"/>
  <c r="D121" i="1"/>
  <c r="K115" i="1"/>
  <c r="K118" i="1" s="1"/>
  <c r="F115" i="1" s="1"/>
  <c r="D113" i="1"/>
  <c r="K107" i="1"/>
  <c r="K110" i="1" s="1"/>
  <c r="F107" i="1" s="1"/>
  <c r="D105" i="1"/>
  <c r="K99" i="1"/>
  <c r="K102" i="1" s="1"/>
  <c r="F99" i="1" s="1"/>
  <c r="D97" i="1"/>
  <c r="K91" i="1"/>
  <c r="K94" i="1" s="1"/>
  <c r="F91" i="1" s="1"/>
  <c r="D89" i="1"/>
  <c r="K83" i="1"/>
  <c r="K86" i="1" s="1"/>
  <c r="F83" i="1" s="1"/>
  <c r="D81" i="1"/>
  <c r="K75" i="1"/>
  <c r="K78" i="1" s="1"/>
  <c r="F75" i="1" s="1"/>
  <c r="D73" i="1"/>
  <c r="K67" i="1"/>
  <c r="K70" i="1" s="1"/>
  <c r="F67" i="1" s="1"/>
  <c r="D65" i="1"/>
  <c r="K59" i="1"/>
  <c r="K62" i="1" s="1"/>
  <c r="F59" i="1" s="1"/>
  <c r="D57" i="1"/>
  <c r="K50" i="1"/>
  <c r="K53" i="1" s="1"/>
  <c r="F50" i="1" s="1"/>
  <c r="D48" i="1"/>
  <c r="K41" i="1"/>
  <c r="K44" i="1" s="1"/>
  <c r="F41" i="1" s="1"/>
  <c r="D39" i="1"/>
  <c r="K32" i="1"/>
  <c r="K35" i="1" s="1"/>
  <c r="F32" i="1" s="1"/>
  <c r="O30" i="1" s="1"/>
  <c r="D30" i="1"/>
  <c r="K23" i="1"/>
  <c r="K26" i="1" s="1"/>
  <c r="D21" i="1"/>
  <c r="F24" i="1" s="1"/>
  <c r="F137" i="1" l="1"/>
  <c r="G161" i="1"/>
  <c r="J161" i="1" s="1"/>
  <c r="K161" i="1" s="1"/>
  <c r="P161" i="1"/>
  <c r="G153" i="1"/>
  <c r="J153" i="1" s="1"/>
  <c r="K153" i="1" s="1"/>
  <c r="P153" i="1"/>
  <c r="F145" i="1"/>
  <c r="P145" i="1" s="1"/>
  <c r="P137" i="1"/>
  <c r="G137" i="1"/>
  <c r="J137" i="1" s="1"/>
  <c r="K137" i="1" s="1"/>
  <c r="O129" i="1"/>
  <c r="F132" i="1"/>
  <c r="F133" i="1"/>
  <c r="O121" i="1"/>
  <c r="F124" i="1"/>
  <c r="F125" i="1"/>
  <c r="O113" i="1"/>
  <c r="F116" i="1"/>
  <c r="F117" i="1"/>
  <c r="O105" i="1"/>
  <c r="F108" i="1"/>
  <c r="F109" i="1"/>
  <c r="O97" i="1"/>
  <c r="F100" i="1"/>
  <c r="F101" i="1"/>
  <c r="O89" i="1"/>
  <c r="F92" i="1"/>
  <c r="F93" i="1"/>
  <c r="O81" i="1"/>
  <c r="F84" i="1"/>
  <c r="F85" i="1"/>
  <c r="O73" i="1"/>
  <c r="F76" i="1"/>
  <c r="F77" i="1"/>
  <c r="O65" i="1"/>
  <c r="F68" i="1"/>
  <c r="F69" i="1"/>
  <c r="O57" i="1"/>
  <c r="F60" i="1"/>
  <c r="F61" i="1"/>
  <c r="O48" i="1"/>
  <c r="F51" i="1"/>
  <c r="F52" i="1"/>
  <c r="O39" i="1"/>
  <c r="F42" i="1"/>
  <c r="F43" i="1"/>
  <c r="F33" i="1"/>
  <c r="F34" i="1"/>
  <c r="O21" i="1"/>
  <c r="F25" i="1"/>
  <c r="F21" i="1" s="1"/>
  <c r="O8" i="1" l="1"/>
  <c r="F81" i="1"/>
  <c r="F113" i="1"/>
  <c r="G113" i="1" s="1"/>
  <c r="J113" i="1" s="1"/>
  <c r="K113" i="1" s="1"/>
  <c r="F39" i="1"/>
  <c r="P39" i="1" s="1"/>
  <c r="F73" i="1"/>
  <c r="G145" i="1"/>
  <c r="J145" i="1" s="1"/>
  <c r="K145" i="1" s="1"/>
  <c r="F48" i="1"/>
  <c r="G48" i="1" s="1"/>
  <c r="J48" i="1" s="1"/>
  <c r="K48" i="1" s="1"/>
  <c r="F57" i="1"/>
  <c r="G57" i="1" s="1"/>
  <c r="J57" i="1" s="1"/>
  <c r="K57" i="1" s="1"/>
  <c r="F89" i="1"/>
  <c r="P89" i="1" s="1"/>
  <c r="F129" i="1"/>
  <c r="G129" i="1" s="1"/>
  <c r="J129" i="1" s="1"/>
  <c r="K129" i="1" s="1"/>
  <c r="F121" i="1"/>
  <c r="P121" i="1" s="1"/>
  <c r="G121" i="1"/>
  <c r="J121" i="1" s="1"/>
  <c r="K121" i="1" s="1"/>
  <c r="F105" i="1"/>
  <c r="G105" i="1" s="1"/>
  <c r="J105" i="1" s="1"/>
  <c r="K105" i="1" s="1"/>
  <c r="F97" i="1"/>
  <c r="P97" i="1"/>
  <c r="G97" i="1"/>
  <c r="J97" i="1" s="1"/>
  <c r="K97" i="1" s="1"/>
  <c r="G81" i="1"/>
  <c r="J81" i="1" s="1"/>
  <c r="K81" i="1" s="1"/>
  <c r="P81" i="1"/>
  <c r="G73" i="1"/>
  <c r="J73" i="1" s="1"/>
  <c r="K73" i="1" s="1"/>
  <c r="P73" i="1"/>
  <c r="F65" i="1"/>
  <c r="G65" i="1" s="1"/>
  <c r="J65" i="1" s="1"/>
  <c r="K65" i="1" s="1"/>
  <c r="G39" i="1"/>
  <c r="J39" i="1" s="1"/>
  <c r="K39" i="1" s="1"/>
  <c r="F30" i="1"/>
  <c r="P30" i="1" s="1"/>
  <c r="G30" i="1"/>
  <c r="J30" i="1" s="1"/>
  <c r="K30" i="1" s="1"/>
  <c r="J21" i="1"/>
  <c r="K21" i="1" s="1"/>
  <c r="P21" i="1"/>
  <c r="P113" i="1" l="1"/>
  <c r="G89" i="1"/>
  <c r="J89" i="1" s="1"/>
  <c r="K89" i="1" s="1"/>
  <c r="P57" i="1"/>
  <c r="P48" i="1"/>
  <c r="P65" i="1"/>
  <c r="P129" i="1"/>
  <c r="P105" i="1"/>
  <c r="B2" i="2" l="1"/>
  <c r="E8" i="1"/>
  <c r="A8" i="1"/>
  <c r="A4" i="2" s="1"/>
  <c r="D8" i="1"/>
  <c r="H8" i="1" s="1"/>
  <c r="I8" i="1" l="1"/>
  <c r="I14" i="1" l="1"/>
  <c r="H3" i="2" l="1"/>
  <c r="H7" i="2" s="1"/>
  <c r="B10" i="2"/>
  <c r="D10" i="2"/>
  <c r="A10" i="2"/>
  <c r="A9" i="2"/>
  <c r="J8" i="2"/>
  <c r="I8" i="2"/>
  <c r="A8" i="2"/>
  <c r="J7" i="2"/>
  <c r="I7" i="2"/>
  <c r="G7" i="2"/>
  <c r="E7" i="2"/>
  <c r="D7" i="2"/>
  <c r="C7" i="2"/>
  <c r="B7" i="2"/>
  <c r="A6" i="2"/>
  <c r="L3" i="2"/>
  <c r="K3" i="2"/>
  <c r="J3" i="2"/>
  <c r="I3" i="2"/>
  <c r="G3" i="2"/>
  <c r="E3" i="2"/>
  <c r="D3" i="2"/>
  <c r="C3" i="2"/>
  <c r="B3" i="2"/>
  <c r="A3" i="2"/>
  <c r="A2" i="2"/>
  <c r="E15" i="1"/>
  <c r="C9" i="2" s="1"/>
  <c r="D15" i="1"/>
  <c r="B9" i="2" s="1"/>
  <c r="H14" i="1"/>
  <c r="K4" i="2"/>
  <c r="E14" i="1"/>
  <c r="C8" i="2" s="1"/>
  <c r="B8" i="2"/>
  <c r="I15" i="1" l="1"/>
  <c r="B4" i="2"/>
  <c r="H15" i="1"/>
  <c r="E16" i="1"/>
  <c r="C10" i="2" s="1"/>
  <c r="C4" i="2"/>
  <c r="Q4" i="1"/>
  <c r="J16" i="1" s="1"/>
  <c r="F8" i="1"/>
  <c r="K16" i="1" l="1"/>
  <c r="F10" i="2" s="1"/>
  <c r="E10" i="2"/>
  <c r="P8" i="1"/>
  <c r="L4" i="2" s="1"/>
  <c r="G8" i="1" l="1"/>
  <c r="D4" i="2"/>
  <c r="G4" i="1"/>
  <c r="G14" i="1" s="1"/>
  <c r="J8" i="1" l="1"/>
  <c r="K8" i="1" s="1"/>
  <c r="G15" i="1"/>
  <c r="F14" i="1"/>
  <c r="J14" i="1"/>
  <c r="J4" i="1"/>
  <c r="M153" i="1" l="1"/>
  <c r="N153" i="1" s="1"/>
  <c r="M161" i="1"/>
  <c r="N161" i="1" s="1"/>
  <c r="M145" i="1"/>
  <c r="N145" i="1" s="1"/>
  <c r="M137" i="1"/>
  <c r="N137" i="1" s="1"/>
  <c r="M89" i="1"/>
  <c r="N89" i="1" s="1"/>
  <c r="M39" i="1"/>
  <c r="N39" i="1" s="1"/>
  <c r="M113" i="1"/>
  <c r="N113" i="1" s="1"/>
  <c r="M81" i="1"/>
  <c r="N81" i="1" s="1"/>
  <c r="M30" i="1"/>
  <c r="N30" i="1" s="1"/>
  <c r="M121" i="1"/>
  <c r="N121" i="1" s="1"/>
  <c r="M97" i="1"/>
  <c r="N97" i="1" s="1"/>
  <c r="M129" i="1"/>
  <c r="N129" i="1" s="1"/>
  <c r="M73" i="1"/>
  <c r="N73" i="1" s="1"/>
  <c r="M48" i="1"/>
  <c r="N48" i="1" s="1"/>
  <c r="M21" i="1"/>
  <c r="N21" i="1" s="1"/>
  <c r="M105" i="1"/>
  <c r="N105" i="1" s="1"/>
  <c r="M57" i="1"/>
  <c r="N57" i="1" s="1"/>
  <c r="M65" i="1"/>
  <c r="N65" i="1" s="1"/>
  <c r="M8" i="1"/>
  <c r="L4" i="1"/>
  <c r="F15" i="1"/>
  <c r="D9" i="2" s="1"/>
  <c r="D8" i="2"/>
  <c r="G4" i="2"/>
  <c r="E4" i="2"/>
  <c r="K14" i="1"/>
  <c r="G8" i="2" s="1"/>
  <c r="E8" i="2"/>
  <c r="J15" i="1"/>
  <c r="L161" i="1" l="1"/>
  <c r="L145" i="1"/>
  <c r="L153" i="1"/>
  <c r="L137" i="1"/>
  <c r="L65" i="1"/>
  <c r="L121" i="1"/>
  <c r="L105" i="1"/>
  <c r="L89" i="1"/>
  <c r="L57" i="1"/>
  <c r="L30" i="1"/>
  <c r="L129" i="1"/>
  <c r="L97" i="1"/>
  <c r="L73" i="1"/>
  <c r="L113" i="1"/>
  <c r="L81" i="1"/>
  <c r="L21" i="1"/>
  <c r="L39" i="1"/>
  <c r="L48" i="1"/>
  <c r="N8" i="1"/>
  <c r="J4" i="2" s="1"/>
  <c r="L14" i="1"/>
  <c r="H8" i="2" s="1"/>
  <c r="L8" i="1"/>
  <c r="H4" i="2" s="1"/>
  <c r="L15" i="1"/>
  <c r="K15" i="1"/>
  <c r="E9" i="2"/>
  <c r="I4" i="2" l="1"/>
  <c r="H9" i="2"/>
  <c r="L16" i="1"/>
  <c r="G9" i="2"/>
  <c r="G10" i="2" s="1"/>
  <c r="M16" i="1"/>
  <c r="M15" i="1"/>
  <c r="N15" i="1" l="1"/>
  <c r="J9" i="2" s="1"/>
  <c r="I9" i="2"/>
  <c r="N16" i="1"/>
  <c r="J10" i="2" s="1"/>
  <c r="I10" i="2"/>
</calcChain>
</file>

<file path=xl/sharedStrings.xml><?xml version="1.0" encoding="utf-8"?>
<sst xmlns="http://schemas.openxmlformats.org/spreadsheetml/2006/main" count="568" uniqueCount="74">
  <si>
    <t>SR No.</t>
  </si>
  <si>
    <t>Route No.</t>
  </si>
  <si>
    <t>Type Modility</t>
  </si>
  <si>
    <t>PO Length</t>
  </si>
  <si>
    <t>Category Type</t>
  </si>
  <si>
    <t>Target Date of comletion</t>
  </si>
  <si>
    <t>Surveyed length</t>
  </si>
  <si>
    <t>Budgeted RI Cost W/O Deposit</t>
  </si>
  <si>
    <t>Budgeted Service/mtr Cost</t>
  </si>
  <si>
    <t>Budgeted Material/mtr Cost</t>
  </si>
  <si>
    <t>Total/mtr Cost</t>
  </si>
  <si>
    <t>Total Budgeted Cost for route</t>
  </si>
  <si>
    <t>Budget</t>
  </si>
  <si>
    <t>DN Details</t>
  </si>
  <si>
    <t>DN Length</t>
  </si>
  <si>
    <t>Budgeted RI/mtr Cost</t>
  </si>
  <si>
    <t>Actual RI/mtr Cost</t>
  </si>
  <si>
    <t>Actual Service/mtr Cost</t>
  </si>
  <si>
    <t>Actual Material/mtr Cost</t>
  </si>
  <si>
    <t>Total Actual Cost for route</t>
  </si>
  <si>
    <t>Subsection ID</t>
  </si>
  <si>
    <t>Deposit Amount</t>
  </si>
  <si>
    <t>Breakup</t>
  </si>
  <si>
    <t>RI Charges</t>
  </si>
  <si>
    <t>Access Charges</t>
  </si>
  <si>
    <t>Total Actual RI Including all Non Refundable Charges (W/O Deposit)</t>
  </si>
  <si>
    <t>Total Payble Amount to Authority</t>
  </si>
  <si>
    <t>Projection</t>
  </si>
  <si>
    <t>Balance Route</t>
  </si>
  <si>
    <t>Total Route</t>
  </si>
  <si>
    <t>Diffrence/mtr Cost</t>
  </si>
  <si>
    <t>Balance Budgeted RI Cost W/O Deposit</t>
  </si>
  <si>
    <t>PO Number</t>
  </si>
  <si>
    <t>PO Value W/O GST</t>
  </si>
  <si>
    <t>PO Value/mtr</t>
  </si>
  <si>
    <t>Comparison with PO</t>
  </si>
  <si>
    <t>Demand Note Details</t>
  </si>
  <si>
    <t>Difference Total</t>
  </si>
  <si>
    <t>Estimated Difference</t>
  </si>
  <si>
    <t>Difference/mtr Cost</t>
  </si>
  <si>
    <t>Difference/Cost</t>
  </si>
  <si>
    <t>Total DN Analysis</t>
  </si>
  <si>
    <t>Projected Material/mtr Cost</t>
  </si>
  <si>
    <t>Projected Service/mtr Cost</t>
  </si>
  <si>
    <t>Approval Required</t>
  </si>
  <si>
    <t>Total Cumulative DN Received</t>
  </si>
  <si>
    <t>Total Actual RI Including all Non-Refundable Charges (W/O Deposit)</t>
  </si>
  <si>
    <t>Total Payable Amount to Authority</t>
  </si>
  <si>
    <t>Pro-rated PO Value as per surveyed length</t>
  </si>
  <si>
    <t>Ground Rent</t>
  </si>
  <si>
    <t>Administrative Charge</t>
  </si>
  <si>
    <t>MUM_Route_23</t>
  </si>
  <si>
    <t>IP-1</t>
  </si>
  <si>
    <t>Strategic</t>
  </si>
  <si>
    <t>Particulars</t>
  </si>
  <si>
    <t>Length</t>
  </si>
  <si>
    <t>Rate</t>
  </si>
  <si>
    <t>DLP</t>
  </si>
  <si>
    <t>Total</t>
  </si>
  <si>
    <t>Mastic Asphalt</t>
  </si>
  <si>
    <t>Total Actual RI Including All Non-Refundable Charges (Excluding Deposit)</t>
  </si>
  <si>
    <t>from DN(di rn amount)</t>
  </si>
  <si>
    <t>from DN (AH)</t>
  </si>
  <si>
    <t>from DN(AI)</t>
  </si>
  <si>
    <t>Need to add (Hold)</t>
  </si>
  <si>
    <t>po_master(route_id_site_id)</t>
  </si>
  <si>
    <t>budget_master(ce_length_mtr)</t>
  </si>
  <si>
    <t>budget_master(total_ri_amount)</t>
  </si>
  <si>
    <t>budget_master(build_cost_per_meter)</t>
  </si>
  <si>
    <t>budget_master(material_cost_per_meter)</t>
  </si>
  <si>
    <t>po_master(po_no_cobuild)</t>
  </si>
  <si>
    <t>dn_master(dn_number)</t>
  </si>
  <si>
    <t>dn_master(dn_length_mtr)</t>
  </si>
  <si>
    <t>po_master(po_length_ip1)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</si>
</sst>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_ * #,##0.0_ ;_ * \-#,##0.0_ ;_ * &quot;-&quot;??_ ;_ @_ "/>
  </numFmts>
  <fonts count="9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</font>
    <font>
      <sz val="9"/>
      <color rgb="FF000000"/>
      <name val="Aptos Narrow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horizontal="left" vertical="top"/>
    </xf>
    <xf numFmtId="43" fontId="5" fillId="2" borderId="0" xfId="1" applyFont="1" applyFill="1" applyAlignment="1">
      <alignment horizontal="left" vertical="top" wrapText="1"/>
    </xf>
    <xf numFmtId="43" fontId="0" fillId="0" borderId="0" xfId="1" applyFont="1" applyAlignment="1">
      <alignment horizontal="left" vertical="top" wrapText="1"/>
    </xf>
    <xf numFmtId="43" fontId="5" fillId="0" borderId="1" xfId="1" applyFont="1" applyBorder="1" applyAlignment="1">
      <alignment horizontal="left" vertical="top" wrapText="1"/>
    </xf>
    <xf numFmtId="43" fontId="0" fillId="0" borderId="1" xfId="1" applyFont="1" applyBorder="1" applyAlignment="1">
      <alignment horizontal="left" vertical="top" wrapText="1"/>
    </xf>
    <xf numFmtId="43" fontId="1" fillId="0" borderId="0" xfId="1" applyFont="1" applyAlignment="1">
      <alignment horizontal="left" vertical="top" wrapText="1"/>
    </xf>
    <xf numFmtId="43" fontId="2" fillId="0" borderId="0" xfId="1" applyFont="1" applyAlignment="1">
      <alignment horizontal="left" vertical="top" wrapText="1"/>
    </xf>
    <xf numFmtId="43" fontId="5" fillId="3" borderId="1" xfId="1" applyFont="1" applyFill="1" applyBorder="1" applyAlignment="1">
      <alignment horizontal="left" vertical="top" wrapText="1"/>
    </xf>
    <xf numFmtId="43" fontId="0" fillId="0" borderId="2" xfId="1" applyFont="1" applyBorder="1" applyAlignment="1">
      <alignment horizontal="left" vertical="top" wrapText="1"/>
    </xf>
    <xf numFmtId="43" fontId="0" fillId="0" borderId="5" xfId="1" applyFont="1" applyBorder="1" applyAlignment="1">
      <alignment horizontal="left" vertical="top" wrapText="1"/>
    </xf>
    <xf numFmtId="43" fontId="0" fillId="0" borderId="6" xfId="1" applyFont="1" applyBorder="1" applyAlignment="1">
      <alignment horizontal="left" vertical="top" wrapText="1"/>
    </xf>
    <xf numFmtId="43" fontId="0" fillId="0" borderId="7" xfId="1" applyFont="1" applyBorder="1" applyAlignment="1">
      <alignment horizontal="left" vertical="top" wrapText="1"/>
    </xf>
    <xf numFmtId="43" fontId="0" fillId="0" borderId="8" xfId="1" applyFont="1" applyBorder="1" applyAlignment="1">
      <alignment horizontal="left" vertical="top" wrapText="1"/>
    </xf>
    <xf numFmtId="43" fontId="0" fillId="0" borderId="0" xfId="1" applyFont="1" applyBorder="1" applyAlignment="1">
      <alignment horizontal="left" vertical="top" wrapText="1"/>
    </xf>
    <xf numFmtId="43" fontId="5" fillId="2" borderId="1" xfId="1" applyFont="1" applyFill="1" applyBorder="1" applyAlignment="1">
      <alignment horizontal="left" vertical="top" wrapText="1"/>
    </xf>
    <xf numFmtId="0" fontId="0" fillId="0" borderId="0" xfId="0" applyAlignment="1">
      <alignment vertical="top"/>
    </xf>
    <xf numFmtId="43" fontId="5" fillId="0" borderId="0" xfId="0" applyNumberFormat="1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43" fontId="5" fillId="0" borderId="1" xfId="0" applyNumberFormat="1" applyFont="1" applyBorder="1" applyAlignment="1">
      <alignment horizontal="left" vertical="top" wrapText="1"/>
    </xf>
    <xf numFmtId="43" fontId="0" fillId="0" borderId="1" xfId="0" applyNumberFormat="1" applyBorder="1" applyAlignment="1">
      <alignment horizontal="left" vertical="top" wrapText="1"/>
    </xf>
    <xf numFmtId="164" fontId="0" fillId="0" borderId="1" xfId="1" applyNumberFormat="1" applyFont="1" applyBorder="1" applyAlignment="1">
      <alignment horizontal="left" vertical="top" wrapText="1"/>
    </xf>
    <xf numFmtId="0" fontId="5" fillId="0" borderId="0" xfId="0" applyFont="1" applyAlignment="1">
      <alignment vertical="top"/>
    </xf>
    <xf numFmtId="43" fontId="0" fillId="3" borderId="1" xfId="1" applyFont="1" applyFill="1" applyBorder="1" applyAlignment="1">
      <alignment horizontal="left" vertical="top" wrapText="1"/>
    </xf>
    <xf numFmtId="43" fontId="0" fillId="4" borderId="1" xfId="1" applyFont="1" applyFill="1" applyBorder="1" applyAlignment="1">
      <alignment horizontal="left" vertical="top" wrapText="1"/>
    </xf>
    <xf numFmtId="43" fontId="0" fillId="4" borderId="0" xfId="1" applyFont="1" applyFill="1" applyAlignment="1">
      <alignment horizontal="left" vertical="top" wrapText="1"/>
    </xf>
    <xf numFmtId="43" fontId="6" fillId="5" borderId="0" xfId="1" applyFont="1" applyFill="1" applyAlignment="1">
      <alignment horizontal="left" vertical="top" wrapText="1"/>
    </xf>
    <xf numFmtId="43" fontId="6" fillId="5" borderId="1" xfId="1" applyFont="1" applyFill="1" applyBorder="1" applyAlignment="1">
      <alignment horizontal="left" vertical="top" wrapText="1"/>
    </xf>
    <xf numFmtId="43" fontId="7" fillId="5" borderId="0" xfId="1" applyFont="1" applyFill="1" applyAlignment="1">
      <alignment horizontal="left" vertical="top" wrapText="1"/>
    </xf>
    <xf numFmtId="43" fontId="7" fillId="5" borderId="1" xfId="1" applyFont="1" applyFill="1" applyBorder="1" applyAlignment="1">
      <alignment horizontal="left" vertical="top" wrapText="1"/>
    </xf>
    <xf numFmtId="43" fontId="8" fillId="6" borderId="1" xfId="1" applyFont="1" applyFill="1" applyBorder="1" applyAlignment="1">
      <alignment horizontal="left" vertical="top" wrapText="1"/>
    </xf>
    <xf numFmtId="43" fontId="0" fillId="6" borderId="0" xfId="1" applyFont="1" applyFill="1" applyAlignment="1">
      <alignment horizontal="left" vertical="top" wrapText="1"/>
    </xf>
    <xf numFmtId="43" fontId="7" fillId="6" borderId="0" xfId="1" applyFont="1" applyFill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0" fillId="3" borderId="1" xfId="1" applyNumberFormat="1" applyFont="1" applyFill="1" applyBorder="1" applyAlignment="1">
      <alignment horizontal="left" vertical="top" wrapText="1"/>
    </xf>
    <xf numFmtId="17" fontId="0" fillId="3" borderId="1" xfId="1" applyNumberFormat="1" applyFont="1" applyFill="1" applyBorder="1" applyAlignment="1">
      <alignment horizontal="left" vertical="top" wrapText="1"/>
    </xf>
    <xf numFmtId="43" fontId="5" fillId="0" borderId="0" xfId="1" applyFont="1" applyFill="1" applyBorder="1" applyAlignment="1">
      <alignment horizontal="left" vertical="top"/>
    </xf>
    <xf numFmtId="43" fontId="5" fillId="0" borderId="0" xfId="1" applyFont="1" applyFill="1" applyBorder="1" applyAlignment="1">
      <alignment horizontal="left"/>
    </xf>
    <xf numFmtId="43" fontId="0" fillId="0" borderId="0" xfId="1" applyFont="1" applyFill="1" applyBorder="1" applyAlignment="1">
      <alignment horizontal="left" vertical="top"/>
    </xf>
    <xf numFmtId="0" fontId="0" fillId="0" borderId="0" xfId="1" applyNumberFormat="1" applyFont="1" applyFill="1" applyBorder="1" applyAlignment="1">
      <alignment horizontal="left" vertical="top"/>
    </xf>
    <xf numFmtId="43" fontId="0" fillId="0" borderId="0" xfId="1" applyFont="1" applyFill="1" applyBorder="1" applyAlignment="1">
      <alignment horizontal="left"/>
    </xf>
    <xf numFmtId="0" fontId="3" fillId="0" borderId="1" xfId="1" applyNumberFormat="1" applyFont="1" applyBorder="1" applyAlignment="1">
      <alignment horizontal="right" vertical="top" wrapText="1"/>
    </xf>
    <xf numFmtId="0" fontId="0" fillId="0" borderId="0" xfId="1" applyNumberFormat="1" applyFont="1" applyAlignment="1">
      <alignment horizontal="left" vertical="top" wrapText="1"/>
    </xf>
    <xf numFmtId="0" fontId="0" fillId="0" borderId="0" xfId="1" applyNumberFormat="1" applyFont="1" applyFill="1" applyBorder="1" applyAlignment="1">
      <alignment horizontal="right" vertical="top"/>
    </xf>
    <xf numFmtId="43" fontId="0" fillId="0" borderId="0" xfId="1" applyFont="1" applyFill="1" applyBorder="1" applyAlignment="1">
      <alignment horizontal="right" vertical="top"/>
    </xf>
    <xf numFmtId="164" fontId="0" fillId="0" borderId="0" xfId="0" applyNumberFormat="1" applyAlignment="1">
      <alignment horizontal="left" vertical="top"/>
    </xf>
    <xf numFmtId="164" fontId="8" fillId="0" borderId="1" xfId="1" applyNumberFormat="1" applyFont="1" applyBorder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0" fontId="0" fillId="4" borderId="1" xfId="1" applyNumberFormat="1" applyFont="1" applyFill="1" applyBorder="1" applyAlignment="1">
      <alignment horizontal="right" vertical="top" wrapText="1"/>
    </xf>
    <xf numFmtId="0" fontId="0" fillId="0" borderId="1" xfId="0" applyBorder="1" applyAlignment="1">
      <alignment horizontal="right" vertical="top" wrapText="1"/>
    </xf>
    <xf numFmtId="43" fontId="5" fillId="2" borderId="0" xfId="0" applyNumberFormat="1" applyFont="1" applyFill="1" applyAlignment="1">
      <alignment horizontal="left" vertical="top" wrapText="1"/>
    </xf>
    <xf numFmtId="43" fontId="5" fillId="0" borderId="3" xfId="1" applyFont="1" applyFill="1" applyBorder="1" applyAlignment="1">
      <alignment horizontal="right" vertical="top"/>
    </xf>
    <xf numFmtId="43" fontId="5" fillId="0" borderId="9" xfId="1" applyFont="1" applyFill="1" applyBorder="1" applyAlignment="1">
      <alignment horizontal="right" vertical="top"/>
    </xf>
    <xf numFmtId="43" fontId="5" fillId="0" borderId="4" xfId="1" applyFont="1" applyFill="1" applyBorder="1" applyAlignment="1">
      <alignment horizontal="left" vertical="top"/>
    </xf>
    <xf numFmtId="43" fontId="0" fillId="0" borderId="5" xfId="1" applyFont="1" applyFill="1" applyBorder="1" applyAlignment="1">
      <alignment horizontal="right" vertical="top" wrapText="1"/>
    </xf>
    <xf numFmtId="43" fontId="0" fillId="0" borderId="6" xfId="1" applyFont="1" applyFill="1" applyBorder="1" applyAlignment="1">
      <alignment horizontal="left" vertical="top"/>
    </xf>
    <xf numFmtId="43" fontId="0" fillId="0" borderId="5" xfId="1" applyFont="1" applyFill="1" applyBorder="1" applyAlignment="1">
      <alignment horizontal="right" vertical="top"/>
    </xf>
    <xf numFmtId="43" fontId="0" fillId="0" borderId="5" xfId="1" applyFont="1" applyFill="1" applyBorder="1" applyAlignment="1">
      <alignment horizontal="left"/>
    </xf>
    <xf numFmtId="43" fontId="0" fillId="0" borderId="7" xfId="1" applyFont="1" applyFill="1" applyBorder="1" applyAlignment="1">
      <alignment horizontal="left" vertical="top"/>
    </xf>
    <xf numFmtId="0" fontId="0" fillId="0" borderId="10" xfId="1" applyNumberFormat="1" applyFont="1" applyFill="1" applyBorder="1" applyAlignment="1">
      <alignment horizontal="left" vertical="top"/>
    </xf>
    <xf numFmtId="43" fontId="0" fillId="0" borderId="10" xfId="1" applyFont="1" applyFill="1" applyBorder="1" applyAlignment="1">
      <alignment horizontal="left" vertical="top"/>
    </xf>
    <xf numFmtId="43" fontId="0" fillId="0" borderId="8" xfId="1" applyFont="1" applyFill="1" applyBorder="1" applyAlignment="1">
      <alignment horizontal="left" vertical="top"/>
    </xf>
    <xf numFmtId="43" fontId="0" fillId="0" borderId="0" xfId="0" applyNumberFormat="1" applyAlignment="1">
      <alignment horizontal="left" vertical="top"/>
    </xf>
    <xf numFmtId="164" fontId="0" fillId="6" borderId="1" xfId="1" applyNumberFormat="1" applyFont="1" applyFill="1" applyBorder="1" applyAlignment="1">
      <alignment horizontal="left" vertical="top" wrapText="1"/>
    </xf>
    <xf numFmtId="43" fontId="4" fillId="3" borderId="1" xfId="1" applyFont="1" applyFill="1" applyBorder="1" applyAlignment="1">
      <alignment horizontal="left" vertical="top" wrapText="1"/>
    </xf>
    <xf numFmtId="43" fontId="3" fillId="3" borderId="1" xfId="1" applyFont="1" applyFill="1" applyBorder="1" applyAlignment="1">
      <alignment horizontal="left" vertical="top" wrapText="1"/>
    </xf>
    <xf numFmtId="164" fontId="4" fillId="6" borderId="1" xfId="1" applyNumberFormat="1" applyFont="1" applyFill="1" applyBorder="1" applyAlignment="1">
      <alignment horizontal="left" vertical="top" wrapText="1"/>
    </xf>
    <xf numFmtId="164" fontId="0" fillId="3" borderId="1" xfId="1" applyNumberFormat="1" applyFont="1" applyFill="1" applyBorder="1" applyAlignment="1">
      <alignment horizontal="left" vertical="top" wrapText="1"/>
    </xf>
    <xf numFmtId="165" fontId="4" fillId="3" borderId="1" xfId="1" applyNumberFormat="1" applyFont="1" applyFill="1" applyBorder="1" applyAlignment="1">
      <alignment vertical="top" wrapText="1"/>
    </xf>
    <xf numFmtId="0" fontId="3" fillId="3" borderId="1" xfId="1" applyNumberFormat="1" applyFont="1" applyFill="1" applyBorder="1" applyAlignment="1">
      <alignment horizontal="right" vertical="top" wrapText="1"/>
    </xf>
    <xf numFmtId="43" fontId="0" fillId="0" borderId="0" xfId="1" applyFont="1" applyAlignment="1">
      <alignment wrapText="1"/>
    </xf>
    <xf numFmtId="43" fontId="5" fillId="0" borderId="0" xfId="1" applyFont="1" applyAlignment="1">
      <alignment horizontal="left" vertical="top" wrapText="1"/>
    </xf>
    <xf numFmtId="43" fontId="0" fillId="7" borderId="0" xfId="1" applyFont="1" applyFill="1" applyAlignment="1">
      <alignment horizontal="left" vertical="top" wrapText="1"/>
    </xf>
    <xf numFmtId="43" fontId="5" fillId="7" borderId="0" xfId="1" applyFont="1" applyFill="1" applyAlignment="1">
      <alignment horizontal="left" vertical="top" wrapText="1"/>
    </xf>
    <xf numFmtId="43" fontId="5" fillId="0" borderId="3" xfId="1" applyFont="1" applyBorder="1" applyAlignment="1">
      <alignment horizontal="left" vertical="top" wrapText="1"/>
    </xf>
    <xf numFmtId="43" fontId="5" fillId="0" borderId="4" xfId="1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4D28-7616-46A1-8ADA-D9FF6EE5ED86}">
  <dimension ref="A1:L15"/>
  <sheetViews>
    <sheetView showGridLines="0" zoomScale="85" zoomScaleNormal="85" workbookViewId="0">
      <selection activeCell="G10" sqref="G10"/>
    </sheetView>
  </sheetViews>
  <sheetFormatPr defaultColWidth="9.08984375" defaultRowHeight="14.5" x14ac:dyDescent="0.35"/>
  <cols>
    <col min="1" max="1" width="21.54296875" style="1" customWidth="1"/>
    <col min="2" max="2" width="14.453125" style="1" customWidth="1"/>
    <col min="3" max="3" width="14" style="1" bestFit="1" customWidth="1"/>
    <col min="4" max="4" width="14.6328125" style="1" bestFit="1" customWidth="1"/>
    <col min="5" max="5" width="12.54296875" style="1" bestFit="1" customWidth="1"/>
    <col min="6" max="6" width="14.26953125" style="1" bestFit="1" customWidth="1"/>
    <col min="7" max="7" width="14.36328125" style="1" customWidth="1"/>
    <col min="8" max="8" width="13" style="1" bestFit="1" customWidth="1"/>
    <col min="9" max="9" width="14.453125" style="1" bestFit="1" customWidth="1"/>
    <col min="10" max="10" width="17" style="1" bestFit="1" customWidth="1"/>
    <col min="11" max="11" width="13.81640625" style="1" bestFit="1" customWidth="1"/>
    <col min="12" max="12" width="17.453125" style="1" customWidth="1"/>
    <col min="13" max="13" width="15.81640625" style="16" bestFit="1" customWidth="1"/>
    <col min="14" max="16384" width="9.08984375" style="16"/>
  </cols>
  <sheetData>
    <row r="1" spans="1:12" x14ac:dyDescent="0.35">
      <c r="F1" s="34"/>
    </row>
    <row r="2" spans="1:12" x14ac:dyDescent="0.35">
      <c r="A2" s="17" t="str">
        <f>'data-sheet'!A6</f>
        <v>Total DN Analysis</v>
      </c>
      <c r="B2" s="51" t="str">
        <f>'data-sheet'!N4</f>
        <v>Strategic</v>
      </c>
      <c r="C2" s="18"/>
      <c r="D2" s="18"/>
      <c r="E2" s="18"/>
      <c r="F2" s="34"/>
      <c r="G2" s="18"/>
      <c r="H2" s="18"/>
      <c r="I2" s="18"/>
      <c r="J2" s="18"/>
      <c r="K2" s="18"/>
      <c r="L2" s="18"/>
    </row>
    <row r="3" spans="1:12" ht="72.5" x14ac:dyDescent="0.35">
      <c r="A3" s="19" t="str">
        <f>'data-sheet'!A7</f>
        <v>Total Cumulative DN Received</v>
      </c>
      <c r="B3" s="19" t="str">
        <f>'data-sheet'!D7</f>
        <v>DN Length</v>
      </c>
      <c r="C3" s="19" t="str">
        <f>'data-sheet'!E7</f>
        <v>Surveyed length</v>
      </c>
      <c r="D3" s="19" t="str">
        <f>'data-sheet'!F7</f>
        <v>Total Actual RI Including All Non-Refundable Charges (Excluding Deposit)</v>
      </c>
      <c r="E3" s="19" t="str">
        <f>'data-sheet'!J7</f>
        <v>Total/mtr Cost</v>
      </c>
      <c r="F3" s="34"/>
      <c r="G3" s="19" t="str">
        <f>'data-sheet'!K7</f>
        <v>Total Actual Cost for route</v>
      </c>
      <c r="H3" s="19" t="str">
        <f>'data-sheet'!L3</f>
        <v>Total Budgeted Cost for route</v>
      </c>
      <c r="I3" s="19" t="str">
        <f>'data-sheet'!M7</f>
        <v>Difference Total</v>
      </c>
      <c r="J3" s="19" t="str">
        <f>'data-sheet'!N7</f>
        <v>Difference/mtr Cost</v>
      </c>
      <c r="K3" s="19" t="str">
        <f>'data-sheet'!O7</f>
        <v>Deposit Amount</v>
      </c>
      <c r="L3" s="19" t="str">
        <f>'data-sheet'!P7</f>
        <v>Total Payable Amount to Authority</v>
      </c>
    </row>
    <row r="4" spans="1:12" x14ac:dyDescent="0.35">
      <c r="A4" s="50">
        <f>'data-sheet'!A8</f>
        <v>18</v>
      </c>
      <c r="B4" s="21">
        <f>'data-sheet'!D8</f>
        <v>2633</v>
      </c>
      <c r="C4" s="21">
        <f>'data-sheet'!E8</f>
        <v>2505</v>
      </c>
      <c r="D4" s="21">
        <f>'data-sheet'!F8</f>
        <v>32519296</v>
      </c>
      <c r="E4" s="21">
        <f>'data-sheet'!J8</f>
        <v>13675.592859855677</v>
      </c>
      <c r="F4" s="34"/>
      <c r="G4" s="21">
        <f>'data-sheet'!K8</f>
        <v>36007836</v>
      </c>
      <c r="H4" s="21">
        <f>'data-sheet'!L8</f>
        <v>31172087</v>
      </c>
      <c r="I4" s="21">
        <f>'data-sheet'!M8</f>
        <v>-4835749</v>
      </c>
      <c r="J4" s="21">
        <f>'data-sheet'!N8</f>
        <v>-1836.5928598556779</v>
      </c>
      <c r="K4" s="21">
        <f>'data-sheet'!O8</f>
        <v>16255698.5</v>
      </c>
      <c r="L4" s="64">
        <f>'data-sheet'!P8</f>
        <v>48774994.5</v>
      </c>
    </row>
    <row r="5" spans="1:12" x14ac:dyDescent="0.35">
      <c r="A5" s="18"/>
      <c r="B5" s="18"/>
      <c r="C5" s="48"/>
      <c r="D5" s="18"/>
      <c r="E5" s="18"/>
      <c r="F5" s="18"/>
      <c r="G5" s="18"/>
      <c r="H5" s="18"/>
      <c r="I5" s="18"/>
      <c r="J5" s="18"/>
      <c r="K5" s="18"/>
      <c r="L5" s="18" t="s">
        <v>44</v>
      </c>
    </row>
    <row r="6" spans="1:12" x14ac:dyDescent="0.35">
      <c r="A6" s="22" t="str">
        <f>'data-sheet'!A11</f>
        <v>Projection</v>
      </c>
      <c r="B6" s="16"/>
      <c r="C6" s="16"/>
      <c r="D6" s="16"/>
      <c r="E6" s="16"/>
      <c r="F6" s="16"/>
      <c r="G6" s="16"/>
      <c r="H6" s="16"/>
      <c r="I6" s="16"/>
      <c r="J6" s="16"/>
      <c r="K6" s="18"/>
      <c r="L6" s="18"/>
    </row>
    <row r="7" spans="1:12" s="22" customFormat="1" ht="58" x14ac:dyDescent="0.35">
      <c r="A7" s="33"/>
      <c r="B7" s="19" t="str">
        <f>'data-sheet'!D12</f>
        <v>PO Length</v>
      </c>
      <c r="C7" s="19" t="str">
        <f>'data-sheet'!E12</f>
        <v>Surveyed length</v>
      </c>
      <c r="D7" s="19" t="str">
        <f>'data-sheet'!F12</f>
        <v>Balance Budgeted RI Cost W/O Deposit</v>
      </c>
      <c r="E7" s="19" t="str">
        <f>'data-sheet'!J12</f>
        <v>Total/mtr Cost</v>
      </c>
      <c r="F7" s="19" t="s">
        <v>48</v>
      </c>
      <c r="G7" s="19" t="str">
        <f>'data-sheet'!K12</f>
        <v>Total Actual Cost for route</v>
      </c>
      <c r="H7" s="4" t="str">
        <f>H3</f>
        <v>Total Budgeted Cost for route</v>
      </c>
      <c r="I7" s="19" t="str">
        <f>'data-sheet'!M12</f>
        <v>Estimated Difference</v>
      </c>
      <c r="J7" s="19" t="str">
        <f>'data-sheet'!N12</f>
        <v>Difference/mtr Cost</v>
      </c>
      <c r="K7" s="34"/>
      <c r="L7" s="34"/>
    </row>
    <row r="8" spans="1:12" x14ac:dyDescent="0.35">
      <c r="A8" s="20" t="str">
        <f>'data-sheet'!A14</f>
        <v>Balance Route</v>
      </c>
      <c r="B8" s="21">
        <f>'data-sheet'!D14</f>
        <v>0</v>
      </c>
      <c r="C8" s="21">
        <f>'data-sheet'!E14</f>
        <v>3916.8</v>
      </c>
      <c r="D8" s="21">
        <f>'data-sheet'!F14</f>
        <v>39900441.600000001</v>
      </c>
      <c r="E8" s="21">
        <f>'data-sheet'!J14</f>
        <v>11839</v>
      </c>
      <c r="F8" s="21"/>
      <c r="G8" s="21">
        <f>'data-sheet'!K14</f>
        <v>46370995.200000003</v>
      </c>
      <c r="H8" s="21">
        <f>'data-sheet'!L14</f>
        <v>46370995.200000003</v>
      </c>
      <c r="I8" s="21">
        <f>'data-sheet'!M14</f>
        <v>0</v>
      </c>
      <c r="J8" s="21">
        <f>'data-sheet'!N14</f>
        <v>0</v>
      </c>
      <c r="K8" s="18"/>
      <c r="L8" s="48"/>
    </row>
    <row r="9" spans="1:12" x14ac:dyDescent="0.35">
      <c r="A9" s="20" t="str">
        <f>'data-sheet'!A15</f>
        <v>Total Route</v>
      </c>
      <c r="B9" s="21">
        <f>'data-sheet'!D15</f>
        <v>6420</v>
      </c>
      <c r="C9" s="21">
        <f>'data-sheet'!E15</f>
        <v>6421.8</v>
      </c>
      <c r="D9" s="21">
        <f>'data-sheet'!F15</f>
        <v>72419737.599999994</v>
      </c>
      <c r="E9" s="21">
        <f>'data-sheet'!J15</f>
        <v>12555.413640091327</v>
      </c>
      <c r="F9" s="21"/>
      <c r="G9" s="21">
        <f>'data-sheet'!K15</f>
        <v>80628355.313938484</v>
      </c>
      <c r="H9" s="21">
        <f>'data-sheet'!L15</f>
        <v>76027690.200000003</v>
      </c>
      <c r="I9" s="21">
        <f>'data-sheet'!M15</f>
        <v>-4600665.1139384806</v>
      </c>
      <c r="J9" s="21">
        <f>'data-sheet'!N15</f>
        <v>-716.41364009132644</v>
      </c>
      <c r="K9" s="18"/>
      <c r="L9" s="18"/>
    </row>
    <row r="10" spans="1:12" x14ac:dyDescent="0.35">
      <c r="A10" s="20" t="str">
        <f>'data-sheet'!A16</f>
        <v>Comparison with PO</v>
      </c>
      <c r="B10" s="21">
        <f>'data-sheet'!D16</f>
        <v>0</v>
      </c>
      <c r="C10" s="21">
        <f>'data-sheet'!E16</f>
        <v>6421.8</v>
      </c>
      <c r="D10" s="21">
        <f>'data-sheet'!F16</f>
        <v>0</v>
      </c>
      <c r="E10" s="21">
        <f>'data-sheet'!J16</f>
        <v>8900</v>
      </c>
      <c r="F10" s="21">
        <f>'data-sheet'!K16</f>
        <v>57154020</v>
      </c>
      <c r="G10" s="21">
        <f>G9</f>
        <v>80628355.313938484</v>
      </c>
      <c r="H10" s="21"/>
      <c r="I10" s="21">
        <f>'data-sheet'!M16</f>
        <v>-23474335.313938484</v>
      </c>
      <c r="J10" s="47">
        <f>'data-sheet'!N16</f>
        <v>-3655.4136400913267</v>
      </c>
      <c r="K10" s="18"/>
      <c r="L10" s="18"/>
    </row>
    <row r="12" spans="1:12" x14ac:dyDescent="0.35">
      <c r="C12" s="46"/>
    </row>
    <row r="15" spans="1:12" x14ac:dyDescent="0.35">
      <c r="A15" s="63"/>
      <c r="B15" s="63"/>
      <c r="C15" s="6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5F80B-81DA-4E8F-90DA-22153A69BF9D}">
  <dimension ref="A2:Q174"/>
  <sheetViews>
    <sheetView showGridLines="0" tabSelected="1" zoomScale="63" zoomScaleNormal="70" workbookViewId="0">
      <pane ySplit="16" topLeftCell="A17" activePane="bottomLeft" state="frozen"/>
      <selection pane="bottomLeft" activeCell="P20" sqref="P20"/>
    </sheetView>
  </sheetViews>
  <sheetFormatPr defaultColWidth="8.7265625" defaultRowHeight="14.5" x14ac:dyDescent="0.35"/>
  <cols>
    <col min="1" max="1" width="18.08984375" style="3" bestFit="1" customWidth="1"/>
    <col min="2" max="2" width="25.54296875" style="3" customWidth="1"/>
    <col min="3" max="3" width="12.08984375" style="3" bestFit="1" customWidth="1"/>
    <col min="4" max="4" width="11" style="3" customWidth="1"/>
    <col min="5" max="5" width="17.54296875" style="3" customWidth="1"/>
    <col min="6" max="6" width="17" style="3" bestFit="1" customWidth="1"/>
    <col min="7" max="7" width="18.54296875" style="3" customWidth="1"/>
    <col min="8" max="8" width="16" style="3" customWidth="1"/>
    <col min="9" max="9" width="15.81640625" style="3" customWidth="1"/>
    <col min="10" max="10" width="13.1796875" style="3" bestFit="1" customWidth="1"/>
    <col min="11" max="11" width="18.1796875" style="3" customWidth="1"/>
    <col min="12" max="12" width="20.90625" style="3" bestFit="1" customWidth="1"/>
    <col min="13" max="13" width="14.81640625" style="3" bestFit="1" customWidth="1"/>
    <col min="14" max="14" width="17.36328125" style="3" bestFit="1" customWidth="1"/>
    <col min="15" max="15" width="14" style="3" bestFit="1" customWidth="1"/>
    <col min="16" max="16" width="20.6328125" style="3" customWidth="1"/>
    <col min="17" max="17" width="11.7265625" style="3" bestFit="1" customWidth="1"/>
    <col min="18" max="16384" width="8.7265625" style="31"/>
  </cols>
  <sheetData>
    <row r="2" spans="1:17" s="73" customFormat="1" ht="58" x14ac:dyDescent="0.35">
      <c r="A2" s="74" t="s">
        <v>12</v>
      </c>
      <c r="B2" s="73" t="s">
        <v>65</v>
      </c>
      <c r="D2" s="73" t="s">
        <v>73</v>
      </c>
      <c r="E2" s="73" t="s">
        <v>66</v>
      </c>
      <c r="F2" s="73" t="s">
        <v>67</v>
      </c>
      <c r="H2" s="73" t="s">
        <v>68</v>
      </c>
      <c r="I2" s="73" t="s">
        <v>69</v>
      </c>
      <c r="O2" s="73" t="s">
        <v>70</v>
      </c>
    </row>
    <row r="3" spans="1:17" s="32" customFormat="1" ht="29" x14ac:dyDescent="0.35">
      <c r="A3" s="27" t="s">
        <v>0</v>
      </c>
      <c r="B3" s="27" t="s">
        <v>1</v>
      </c>
      <c r="C3" s="27" t="s">
        <v>2</v>
      </c>
      <c r="D3" s="27" t="s">
        <v>3</v>
      </c>
      <c r="E3" s="27" t="s">
        <v>6</v>
      </c>
      <c r="F3" s="27" t="s">
        <v>7</v>
      </c>
      <c r="G3" s="27" t="s">
        <v>15</v>
      </c>
      <c r="H3" s="27" t="s">
        <v>8</v>
      </c>
      <c r="I3" s="27" t="s">
        <v>9</v>
      </c>
      <c r="J3" s="27" t="s">
        <v>10</v>
      </c>
      <c r="K3" s="27"/>
      <c r="L3" s="27" t="s">
        <v>11</v>
      </c>
      <c r="M3" s="27" t="s">
        <v>5</v>
      </c>
      <c r="N3" s="27" t="s">
        <v>4</v>
      </c>
      <c r="O3" s="27" t="s">
        <v>32</v>
      </c>
      <c r="P3" s="27" t="s">
        <v>33</v>
      </c>
      <c r="Q3" s="27" t="s">
        <v>34</v>
      </c>
    </row>
    <row r="4" spans="1:17" x14ac:dyDescent="0.35">
      <c r="A4" s="65">
        <v>1</v>
      </c>
      <c r="B4" s="66" t="s">
        <v>51</v>
      </c>
      <c r="C4" s="66" t="s">
        <v>52</v>
      </c>
      <c r="D4" s="70">
        <v>6420</v>
      </c>
      <c r="E4" s="69">
        <v>6421.8</v>
      </c>
      <c r="F4" s="65">
        <v>65418876.600000001</v>
      </c>
      <c r="G4" s="67">
        <f>F4/E4</f>
        <v>10187</v>
      </c>
      <c r="H4" s="68">
        <v>1000</v>
      </c>
      <c r="I4" s="23">
        <v>652</v>
      </c>
      <c r="J4" s="21">
        <f>G4+H4+I4</f>
        <v>11839</v>
      </c>
      <c r="K4" s="5"/>
      <c r="L4" s="5">
        <f>J4*E4</f>
        <v>76027690.200000003</v>
      </c>
      <c r="M4" s="36">
        <v>46084</v>
      </c>
      <c r="N4" s="23" t="s">
        <v>53</v>
      </c>
      <c r="O4" s="35">
        <v>10004631</v>
      </c>
      <c r="P4" s="23">
        <v>57138000</v>
      </c>
      <c r="Q4" s="5">
        <f>P4/D4</f>
        <v>8900</v>
      </c>
    </row>
    <row r="5" spans="1:17" x14ac:dyDescent="0.35">
      <c r="B5" s="6"/>
      <c r="C5" s="7"/>
    </row>
    <row r="6" spans="1:17" x14ac:dyDescent="0.35">
      <c r="A6" s="3" t="s">
        <v>41</v>
      </c>
      <c r="E6" s="14"/>
      <c r="F6" s="14"/>
    </row>
    <row r="7" spans="1:17" s="32" customFormat="1" ht="87" x14ac:dyDescent="0.35">
      <c r="A7" s="27" t="s">
        <v>45</v>
      </c>
      <c r="B7" s="27"/>
      <c r="C7" s="27"/>
      <c r="D7" s="27" t="s">
        <v>14</v>
      </c>
      <c r="E7" s="27" t="s">
        <v>6</v>
      </c>
      <c r="F7" s="27" t="s">
        <v>60</v>
      </c>
      <c r="G7" s="27" t="s">
        <v>16</v>
      </c>
      <c r="H7" s="27" t="s">
        <v>17</v>
      </c>
      <c r="I7" s="27" t="s">
        <v>18</v>
      </c>
      <c r="J7" s="27" t="s">
        <v>10</v>
      </c>
      <c r="K7" s="27" t="s">
        <v>19</v>
      </c>
      <c r="L7" s="27" t="s">
        <v>11</v>
      </c>
      <c r="M7" s="27" t="s">
        <v>37</v>
      </c>
      <c r="N7" s="27" t="s">
        <v>39</v>
      </c>
      <c r="O7" s="27" t="s">
        <v>21</v>
      </c>
      <c r="P7" s="27" t="s">
        <v>47</v>
      </c>
      <c r="Q7" s="28"/>
    </row>
    <row r="8" spans="1:17" x14ac:dyDescent="0.35">
      <c r="A8" s="49">
        <f>SUBTOTAL(3,B30,B21,B39,B48,B57,B65,B73,B81,B89,B97,B105,B113,B121,B129,B137,B145,B153,B161,B169)</f>
        <v>18</v>
      </c>
      <c r="B8" s="24"/>
      <c r="C8" s="24"/>
      <c r="D8" s="24">
        <f>SUM(D21,D30,D39,D48,D57,D65,D73,D81,D89,D97,D105,D113,D121,D129,D137,D145,D153,D161,D169)</f>
        <v>2633</v>
      </c>
      <c r="E8" s="24">
        <f>SUM(E21,E30,E39,E48,E57,E65,E73,E81,E89,E97,E105,E113,E121,E129,E137,E145,E153,E161,E169)</f>
        <v>2505</v>
      </c>
      <c r="F8" s="24">
        <f>SUM(F21,F30,F39,F48,F57,F65,F73,F81,F89,F97,F105,F113,F121,F129,F137,F145,F153,F161,F169)</f>
        <v>32519296</v>
      </c>
      <c r="G8" s="24">
        <f>F8/D8</f>
        <v>12350.663121914165</v>
      </c>
      <c r="H8" s="24">
        <f>(H21*$D21+H30*$D30+H39*$D39+H48*$D48+H57*$D57+H65*$D65+H73*$D73+H81*$D81+H89*$D89+H97*$D97+H105*$D105+H113*$D113+H121*$D121+H129*$D129+H137*$D137+H145*$D145+H153*$D153+H169*$D169)/$D8</f>
        <v>944.92973794151158</v>
      </c>
      <c r="I8" s="24">
        <f>(I21*$D21+I30*$D30+I39*$D39+I48*$D48+I57*$D57+I65*$D65+I73*$D73+I81*$D81+I89*$D89+I97*$D97+I105*$D105+I113*$D113+I121*$D121+I129*$D129+I137*$D137+I145*$D145+I153*$D153+I161*$D161+I169*$D169)/$D8</f>
        <v>380</v>
      </c>
      <c r="J8" s="24">
        <f>G8+H8+I8</f>
        <v>13675.592859855677</v>
      </c>
      <c r="K8" s="24">
        <f>J8*D8</f>
        <v>36007836</v>
      </c>
      <c r="L8" s="24">
        <f>L$4/E$4*D8</f>
        <v>31172087</v>
      </c>
      <c r="M8" s="24">
        <f>(J$4*D8)-K8</f>
        <v>-4835749</v>
      </c>
      <c r="N8" s="24">
        <f>M8/D8</f>
        <v>-1836.5928598556779</v>
      </c>
      <c r="O8" s="24">
        <f>SUM(O21+O30+O39+O48+O57+O65+O73+O81+O89+O97+O105+O113+O121+O129+O137+O145+O153+O161)</f>
        <v>16255698.5</v>
      </c>
      <c r="P8" s="24">
        <f>F8+O8</f>
        <v>48774994.5</v>
      </c>
      <c r="Q8" s="25"/>
    </row>
    <row r="9" spans="1:17" x14ac:dyDescent="0.35">
      <c r="E9" s="14"/>
      <c r="F9" s="14"/>
    </row>
    <row r="10" spans="1:17" x14ac:dyDescent="0.35">
      <c r="E10" s="14"/>
      <c r="F10" s="14"/>
    </row>
    <row r="11" spans="1:17" x14ac:dyDescent="0.35">
      <c r="A11" s="15" t="s">
        <v>27</v>
      </c>
    </row>
    <row r="12" spans="1:17" s="32" customFormat="1" ht="43.5" x14ac:dyDescent="0.35">
      <c r="A12" s="26"/>
      <c r="B12" s="27"/>
      <c r="C12" s="27"/>
      <c r="D12" s="27" t="s">
        <v>3</v>
      </c>
      <c r="E12" s="27" t="s">
        <v>6</v>
      </c>
      <c r="F12" s="27" t="s">
        <v>31</v>
      </c>
      <c r="G12" s="27" t="s">
        <v>15</v>
      </c>
      <c r="H12" s="27" t="s">
        <v>43</v>
      </c>
      <c r="I12" s="27" t="s">
        <v>42</v>
      </c>
      <c r="J12" s="27" t="s">
        <v>10</v>
      </c>
      <c r="K12" s="27" t="s">
        <v>19</v>
      </c>
      <c r="L12" s="27" t="s">
        <v>11</v>
      </c>
      <c r="M12" s="27" t="s">
        <v>38</v>
      </c>
      <c r="N12" s="27" t="s">
        <v>39</v>
      </c>
      <c r="O12" s="28"/>
      <c r="P12" s="28"/>
      <c r="Q12" s="28"/>
    </row>
    <row r="13" spans="1:17" s="32" customFormat="1" x14ac:dyDescent="0.35">
      <c r="A13" s="26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8"/>
      <c r="P13" s="28"/>
      <c r="Q13" s="28"/>
    </row>
    <row r="14" spans="1:17" s="32" customFormat="1" x14ac:dyDescent="0.35">
      <c r="A14" s="29" t="s">
        <v>28</v>
      </c>
      <c r="B14" s="29"/>
      <c r="C14" s="29"/>
      <c r="D14" s="29"/>
      <c r="E14" s="29">
        <f>E4-E8</f>
        <v>3916.8</v>
      </c>
      <c r="F14" s="29">
        <f>G14*E14</f>
        <v>39900441.600000001</v>
      </c>
      <c r="G14" s="29">
        <f>G4</f>
        <v>10187</v>
      </c>
      <c r="H14" s="30">
        <f>H4</f>
        <v>1000</v>
      </c>
      <c r="I14" s="30">
        <f>I4</f>
        <v>652</v>
      </c>
      <c r="J14" s="29">
        <f>G14+H14+I14</f>
        <v>11839</v>
      </c>
      <c r="K14" s="29">
        <f>J14*E14</f>
        <v>46370995.200000003</v>
      </c>
      <c r="L14" s="29">
        <f>L$4/E$4*E14</f>
        <v>46370995.200000003</v>
      </c>
      <c r="M14" s="29"/>
      <c r="N14" s="29"/>
      <c r="O14" s="28"/>
      <c r="P14" s="28"/>
      <c r="Q14" s="28"/>
    </row>
    <row r="15" spans="1:17" s="32" customFormat="1" x14ac:dyDescent="0.35">
      <c r="A15" s="29" t="s">
        <v>29</v>
      </c>
      <c r="B15" s="29"/>
      <c r="C15" s="29"/>
      <c r="D15" s="29">
        <f>D4</f>
        <v>6420</v>
      </c>
      <c r="E15" s="29">
        <f>E4</f>
        <v>6421.8</v>
      </c>
      <c r="F15" s="29">
        <f>F8+F14</f>
        <v>72419737.599999994</v>
      </c>
      <c r="G15" s="29">
        <f>(G8*$E8+G14*$E14)/$E15</f>
        <v>11030.996406053597</v>
      </c>
      <c r="H15" s="29">
        <f>(H8*$E8+H14*$E14)/$E15</f>
        <v>978.51832718918172</v>
      </c>
      <c r="I15" s="29">
        <f>(I8*$E8+I14*$E14)/$E15</f>
        <v>545.89890684854709</v>
      </c>
      <c r="J15" s="29">
        <f>SUM(G15:I15)</f>
        <v>12555.413640091327</v>
      </c>
      <c r="K15" s="29">
        <f>J15*E15</f>
        <v>80628355.313938484</v>
      </c>
      <c r="L15" s="29">
        <f>L$4/E$4*E15</f>
        <v>76027690.200000003</v>
      </c>
      <c r="M15" s="29">
        <f>L4-K15</f>
        <v>-4600665.1139384806</v>
      </c>
      <c r="N15" s="29">
        <f>M15/E15</f>
        <v>-716.41364009132644</v>
      </c>
      <c r="O15" s="28"/>
      <c r="P15" s="28"/>
      <c r="Q15" s="28"/>
    </row>
    <row r="16" spans="1:17" s="32" customFormat="1" x14ac:dyDescent="0.35">
      <c r="A16" s="29" t="s">
        <v>35</v>
      </c>
      <c r="B16" s="29"/>
      <c r="C16" s="29"/>
      <c r="D16" s="29"/>
      <c r="E16" s="29">
        <f>E15</f>
        <v>6421.8</v>
      </c>
      <c r="F16" s="29"/>
      <c r="G16" s="29"/>
      <c r="H16" s="29"/>
      <c r="I16" s="29"/>
      <c r="J16" s="29">
        <f>Q4</f>
        <v>8900</v>
      </c>
      <c r="K16" s="29">
        <f>J16*E16</f>
        <v>57154020</v>
      </c>
      <c r="L16" s="29">
        <f>L15</f>
        <v>76027690.200000003</v>
      </c>
      <c r="M16" s="29">
        <f>K16-K15</f>
        <v>-23474335.313938484</v>
      </c>
      <c r="N16" s="29">
        <f>M16/E15</f>
        <v>-3655.4136400913267</v>
      </c>
      <c r="O16" s="28"/>
      <c r="P16" s="28"/>
      <c r="Q16" s="28"/>
    </row>
    <row r="18" spans="1:16" s="73" customFormat="1" ht="58" x14ac:dyDescent="0.35">
      <c r="B18" s="73" t="s">
        <v>71</v>
      </c>
      <c r="C18" s="74"/>
      <c r="D18" s="73" t="s">
        <v>72</v>
      </c>
      <c r="E18" s="74"/>
    </row>
    <row r="19" spans="1:16" ht="29" x14ac:dyDescent="0.35">
      <c r="A19" s="2" t="s">
        <v>36</v>
      </c>
    </row>
    <row r="20" spans="1:16" ht="72.5" x14ac:dyDescent="0.35">
      <c r="A20" s="8" t="s">
        <v>44</v>
      </c>
      <c r="B20" s="4" t="s">
        <v>13</v>
      </c>
      <c r="C20" s="4" t="s">
        <v>20</v>
      </c>
      <c r="D20" s="4" t="s">
        <v>14</v>
      </c>
      <c r="E20" s="4" t="s">
        <v>6</v>
      </c>
      <c r="F20" s="4" t="s">
        <v>46</v>
      </c>
      <c r="G20" s="4" t="s">
        <v>16</v>
      </c>
      <c r="H20" s="4" t="s">
        <v>17</v>
      </c>
      <c r="I20" s="4" t="s">
        <v>18</v>
      </c>
      <c r="J20" s="4" t="s">
        <v>10</v>
      </c>
      <c r="K20" s="4" t="s">
        <v>19</v>
      </c>
      <c r="L20" s="4" t="s">
        <v>11</v>
      </c>
      <c r="M20" s="4" t="s">
        <v>37</v>
      </c>
      <c r="N20" s="4" t="s">
        <v>40</v>
      </c>
      <c r="O20" s="4" t="s">
        <v>21</v>
      </c>
      <c r="P20" s="4" t="s">
        <v>26</v>
      </c>
    </row>
    <row r="21" spans="1:16" ht="15" thickBot="1" x14ac:dyDescent="0.4">
      <c r="A21" s="5">
        <v>1</v>
      </c>
      <c r="B21" s="42">
        <v>783343256</v>
      </c>
      <c r="C21" s="5"/>
      <c r="D21" s="5">
        <f>SUM(H23:H24)</f>
        <v>165</v>
      </c>
      <c r="E21" s="9">
        <v>155</v>
      </c>
      <c r="F21" s="9">
        <f>SUM(F23:F26)</f>
        <v>2057880</v>
      </c>
      <c r="G21" s="5">
        <f>F21/D21</f>
        <v>12472</v>
      </c>
      <c r="H21" s="5">
        <v>1000</v>
      </c>
      <c r="I21" s="5">
        <v>380</v>
      </c>
      <c r="J21" s="5">
        <f>G21+H21+I21</f>
        <v>13852</v>
      </c>
      <c r="K21" s="5">
        <f>J21*D21</f>
        <v>2285580</v>
      </c>
      <c r="L21" s="5">
        <f>L$4/E$4*D21</f>
        <v>1953435</v>
      </c>
      <c r="M21" s="5">
        <f>(J$4*D21)-K21</f>
        <v>-332145</v>
      </c>
      <c r="N21" s="5">
        <f>M21/D21</f>
        <v>-2013</v>
      </c>
      <c r="O21" s="5">
        <f>F23/2</f>
        <v>1028692.5</v>
      </c>
      <c r="P21" s="21">
        <f>F21+O21</f>
        <v>3086572.5</v>
      </c>
    </row>
    <row r="22" spans="1:16" x14ac:dyDescent="0.35">
      <c r="E22" s="75" t="s">
        <v>22</v>
      </c>
      <c r="F22" s="76"/>
      <c r="G22" s="3" t="s">
        <v>54</v>
      </c>
      <c r="H22" s="3" t="s">
        <v>55</v>
      </c>
      <c r="I22" s="3" t="s">
        <v>56</v>
      </c>
      <c r="J22" s="3" t="s">
        <v>57</v>
      </c>
      <c r="K22" s="3" t="s">
        <v>58</v>
      </c>
      <c r="L22" s="37"/>
      <c r="M22" s="37"/>
      <c r="N22" s="38"/>
      <c r="O22" s="37"/>
    </row>
    <row r="23" spans="1:16" ht="29" x14ac:dyDescent="0.35">
      <c r="D23" s="3" t="s">
        <v>61</v>
      </c>
      <c r="E23" s="10" t="s">
        <v>23</v>
      </c>
      <c r="F23" s="11">
        <f>K26</f>
        <v>2057385</v>
      </c>
      <c r="G23" s="3" t="s">
        <v>59</v>
      </c>
      <c r="H23" s="43">
        <v>165</v>
      </c>
      <c r="I23" s="3">
        <v>12469</v>
      </c>
      <c r="J23" s="3">
        <v>1</v>
      </c>
      <c r="K23" s="3">
        <f>H23*I23*J23</f>
        <v>2057385</v>
      </c>
      <c r="L23" s="39"/>
      <c r="M23" s="40"/>
      <c r="N23" s="39"/>
      <c r="O23" s="39"/>
    </row>
    <row r="24" spans="1:16" ht="29" x14ac:dyDescent="0.35">
      <c r="D24" s="3" t="s">
        <v>62</v>
      </c>
      <c r="E24" s="10" t="s">
        <v>49</v>
      </c>
      <c r="F24" s="11">
        <f>D21*2</f>
        <v>330</v>
      </c>
      <c r="H24" s="43"/>
      <c r="L24" s="39"/>
      <c r="M24" s="40"/>
      <c r="N24" s="39"/>
      <c r="O24" s="39"/>
    </row>
    <row r="25" spans="1:16" ht="29" x14ac:dyDescent="0.35">
      <c r="D25" s="3" t="s">
        <v>63</v>
      </c>
      <c r="E25" s="10" t="s">
        <v>50</v>
      </c>
      <c r="F25" s="11">
        <f>D21*1</f>
        <v>165</v>
      </c>
      <c r="H25" s="43"/>
      <c r="L25" s="39"/>
      <c r="M25" s="39"/>
      <c r="N25" s="40"/>
      <c r="O25" s="41"/>
    </row>
    <row r="26" spans="1:16" ht="29.5" thickBot="1" x14ac:dyDescent="0.4">
      <c r="D26" s="72" t="s">
        <v>64</v>
      </c>
      <c r="E26" s="12" t="s">
        <v>24</v>
      </c>
      <c r="F26" s="13">
        <v>0</v>
      </c>
      <c r="K26" s="3">
        <f>SUM(K23:K25)</f>
        <v>2057385</v>
      </c>
      <c r="L26" s="39"/>
      <c r="M26" s="40"/>
      <c r="N26" s="40"/>
      <c r="O26" s="39"/>
    </row>
    <row r="27" spans="1:16" x14ac:dyDescent="0.35">
      <c r="E27" s="14"/>
      <c r="F27" s="14"/>
    </row>
    <row r="29" spans="1:16" ht="72.5" x14ac:dyDescent="0.35">
      <c r="A29" s="8" t="s">
        <v>44</v>
      </c>
      <c r="B29" s="4" t="s">
        <v>13</v>
      </c>
      <c r="C29" s="4" t="s">
        <v>20</v>
      </c>
      <c r="D29" s="4" t="s">
        <v>14</v>
      </c>
      <c r="E29" s="4" t="s">
        <v>6</v>
      </c>
      <c r="F29" s="4" t="s">
        <v>46</v>
      </c>
      <c r="G29" s="4" t="s">
        <v>16</v>
      </c>
      <c r="H29" s="4" t="s">
        <v>17</v>
      </c>
      <c r="I29" s="4" t="s">
        <v>18</v>
      </c>
      <c r="J29" s="4" t="s">
        <v>10</v>
      </c>
      <c r="K29" s="4" t="s">
        <v>19</v>
      </c>
      <c r="L29" s="4" t="s">
        <v>11</v>
      </c>
      <c r="M29" s="4" t="s">
        <v>37</v>
      </c>
      <c r="N29" s="4" t="s">
        <v>40</v>
      </c>
      <c r="O29" s="4" t="s">
        <v>21</v>
      </c>
      <c r="P29" s="4" t="s">
        <v>26</v>
      </c>
    </row>
    <row r="30" spans="1:16" ht="15" thickBot="1" x14ac:dyDescent="0.4">
      <c r="A30" s="5">
        <v>2</v>
      </c>
      <c r="B30" s="42">
        <v>783343258</v>
      </c>
      <c r="C30" s="5"/>
      <c r="D30" s="5">
        <f>SUM(H32:H33)</f>
        <v>150</v>
      </c>
      <c r="E30" s="9">
        <v>140</v>
      </c>
      <c r="F30" s="9">
        <f>SUM(F32:F35)</f>
        <v>1870800</v>
      </c>
      <c r="G30" s="5">
        <f>F30/D30</f>
        <v>12472</v>
      </c>
      <c r="H30" s="5">
        <v>1000</v>
      </c>
      <c r="I30" s="5">
        <v>380</v>
      </c>
      <c r="J30" s="5">
        <f>G30+H30+I30</f>
        <v>13852</v>
      </c>
      <c r="K30" s="5">
        <f>J30*D30</f>
        <v>2077800</v>
      </c>
      <c r="L30" s="5">
        <f>L$4/E$4*D30</f>
        <v>1775850</v>
      </c>
      <c r="M30" s="5">
        <f>(J$4*D30)-K30</f>
        <v>-301950</v>
      </c>
      <c r="N30" s="5">
        <f>M30/D30</f>
        <v>-2013</v>
      </c>
      <c r="O30" s="5">
        <f>F32/2</f>
        <v>935175</v>
      </c>
      <c r="P30" s="21">
        <f>F30+O30</f>
        <v>2805975</v>
      </c>
    </row>
    <row r="31" spans="1:16" x14ac:dyDescent="0.35">
      <c r="E31" s="75" t="s">
        <v>22</v>
      </c>
      <c r="F31" s="76"/>
      <c r="G31" s="3" t="s">
        <v>54</v>
      </c>
      <c r="H31" s="3" t="s">
        <v>55</v>
      </c>
      <c r="I31" s="71" t="s">
        <v>56</v>
      </c>
      <c r="J31" s="71" t="s">
        <v>57</v>
      </c>
      <c r="K31" s="71" t="s">
        <v>58</v>
      </c>
      <c r="L31" s="37"/>
      <c r="M31" s="37"/>
      <c r="N31" s="38"/>
      <c r="O31" s="37"/>
    </row>
    <row r="32" spans="1:16" x14ac:dyDescent="0.35">
      <c r="E32" s="10" t="s">
        <v>23</v>
      </c>
      <c r="F32" s="11">
        <f>K35</f>
        <v>1870350</v>
      </c>
      <c r="G32" s="3" t="s">
        <v>59</v>
      </c>
      <c r="H32" s="43">
        <v>150</v>
      </c>
      <c r="I32" s="71">
        <v>12469</v>
      </c>
      <c r="J32" s="71">
        <v>1</v>
      </c>
      <c r="K32" s="71">
        <f>H32*I32*J32</f>
        <v>1870350</v>
      </c>
      <c r="L32" s="39"/>
      <c r="M32" s="40"/>
      <c r="N32" s="39"/>
      <c r="O32" s="39"/>
    </row>
    <row r="33" spans="1:16" x14ac:dyDescent="0.35">
      <c r="E33" s="10" t="s">
        <v>49</v>
      </c>
      <c r="F33" s="11">
        <f>D30*2</f>
        <v>300</v>
      </c>
      <c r="H33" s="43"/>
      <c r="I33" s="71"/>
      <c r="J33" s="71"/>
      <c r="K33" s="71"/>
      <c r="L33" s="39"/>
      <c r="M33" s="40"/>
      <c r="N33" s="39"/>
      <c r="O33" s="39"/>
    </row>
    <row r="34" spans="1:16" ht="29" x14ac:dyDescent="0.35">
      <c r="E34" s="10" t="s">
        <v>50</v>
      </c>
      <c r="F34" s="11">
        <f>D30*1</f>
        <v>150</v>
      </c>
      <c r="H34" s="43"/>
      <c r="I34" s="71"/>
      <c r="J34" s="71"/>
      <c r="K34" s="71"/>
      <c r="L34" s="39"/>
      <c r="M34" s="39"/>
      <c r="N34" s="40"/>
      <c r="O34" s="41"/>
    </row>
    <row r="35" spans="1:16" ht="15" thickBot="1" x14ac:dyDescent="0.4">
      <c r="E35" s="12" t="s">
        <v>24</v>
      </c>
      <c r="F35" s="13">
        <v>0</v>
      </c>
      <c r="I35" s="71"/>
      <c r="J35" s="71"/>
      <c r="K35" s="71">
        <f>SUM(K32:K34)</f>
        <v>1870350</v>
      </c>
      <c r="L35" s="39"/>
      <c r="M35" s="40"/>
      <c r="N35" s="40"/>
      <c r="O35" s="39"/>
    </row>
    <row r="36" spans="1:16" x14ac:dyDescent="0.35">
      <c r="E36" s="14"/>
      <c r="F36" s="14"/>
    </row>
    <row r="38" spans="1:16" ht="72.5" x14ac:dyDescent="0.35">
      <c r="A38" s="8" t="s">
        <v>44</v>
      </c>
      <c r="B38" s="4" t="s">
        <v>13</v>
      </c>
      <c r="C38" s="4" t="s">
        <v>20</v>
      </c>
      <c r="D38" s="4" t="s">
        <v>14</v>
      </c>
      <c r="E38" s="4" t="s">
        <v>6</v>
      </c>
      <c r="F38" s="4" t="s">
        <v>46</v>
      </c>
      <c r="G38" s="4" t="s">
        <v>16</v>
      </c>
      <c r="H38" s="4" t="s">
        <v>17</v>
      </c>
      <c r="I38" s="4" t="s">
        <v>18</v>
      </c>
      <c r="J38" s="4" t="s">
        <v>10</v>
      </c>
      <c r="K38" s="4" t="s">
        <v>19</v>
      </c>
      <c r="L38" s="4" t="s">
        <v>11</v>
      </c>
      <c r="M38" s="4" t="s">
        <v>37</v>
      </c>
      <c r="N38" s="4" t="s">
        <v>40</v>
      </c>
      <c r="O38" s="4" t="s">
        <v>21</v>
      </c>
      <c r="P38" s="4" t="s">
        <v>26</v>
      </c>
    </row>
    <row r="39" spans="1:16" ht="15" thickBot="1" x14ac:dyDescent="0.4">
      <c r="A39" s="5">
        <v>3</v>
      </c>
      <c r="B39" s="42">
        <v>783343259</v>
      </c>
      <c r="C39" s="5"/>
      <c r="D39" s="5">
        <f>SUM(H41:H42)</f>
        <v>140</v>
      </c>
      <c r="E39" s="9">
        <v>130</v>
      </c>
      <c r="F39" s="9">
        <f>SUM(F41:F44)</f>
        <v>1746080</v>
      </c>
      <c r="G39" s="5">
        <f>F39/D39</f>
        <v>12472</v>
      </c>
      <c r="H39" s="5">
        <v>1000</v>
      </c>
      <c r="I39" s="5">
        <v>380</v>
      </c>
      <c r="J39" s="5">
        <f>G39+H39+I39</f>
        <v>13852</v>
      </c>
      <c r="K39" s="5">
        <f>J39*D39</f>
        <v>1939280</v>
      </c>
      <c r="L39" s="5">
        <f>L$4/E$4*D39</f>
        <v>1657460</v>
      </c>
      <c r="M39" s="5">
        <f>(J$4*D39)-K39</f>
        <v>-281820</v>
      </c>
      <c r="N39" s="5">
        <f>M39/D39</f>
        <v>-2013</v>
      </c>
      <c r="O39" s="5">
        <f>F41/2</f>
        <v>872830</v>
      </c>
      <c r="P39" s="21">
        <f>F39+O39</f>
        <v>2618910</v>
      </c>
    </row>
    <row r="40" spans="1:16" x14ac:dyDescent="0.35">
      <c r="E40" s="75" t="s">
        <v>22</v>
      </c>
      <c r="F40" s="76"/>
      <c r="G40" s="3" t="s">
        <v>54</v>
      </c>
      <c r="H40" s="3" t="s">
        <v>55</v>
      </c>
      <c r="I40" s="71" t="s">
        <v>56</v>
      </c>
      <c r="J40" s="71" t="s">
        <v>57</v>
      </c>
      <c r="K40" s="71" t="s">
        <v>58</v>
      </c>
      <c r="L40" s="37"/>
      <c r="M40" s="37"/>
      <c r="N40" s="38"/>
      <c r="O40" s="37"/>
    </row>
    <row r="41" spans="1:16" x14ac:dyDescent="0.35">
      <c r="E41" s="10" t="s">
        <v>23</v>
      </c>
      <c r="F41" s="11">
        <f>K44</f>
        <v>1745660</v>
      </c>
      <c r="G41" s="3" t="s">
        <v>59</v>
      </c>
      <c r="H41" s="43">
        <v>140</v>
      </c>
      <c r="I41" s="71">
        <v>12469</v>
      </c>
      <c r="J41" s="71">
        <v>1</v>
      </c>
      <c r="K41" s="71">
        <f>H41*I41*J41</f>
        <v>1745660</v>
      </c>
      <c r="L41" s="39"/>
      <c r="M41" s="40"/>
      <c r="N41" s="39"/>
      <c r="O41" s="39"/>
    </row>
    <row r="42" spans="1:16" x14ac:dyDescent="0.35">
      <c r="E42" s="10" t="s">
        <v>49</v>
      </c>
      <c r="F42" s="11">
        <f>D39*2</f>
        <v>280</v>
      </c>
      <c r="H42" s="43"/>
      <c r="I42" s="71"/>
      <c r="J42" s="71"/>
      <c r="K42" s="71"/>
      <c r="L42" s="39"/>
      <c r="M42" s="40"/>
      <c r="N42" s="39"/>
      <c r="O42" s="39"/>
    </row>
    <row r="43" spans="1:16" ht="14.5" customHeight="1" x14ac:dyDescent="0.35">
      <c r="E43" s="10" t="s">
        <v>50</v>
      </c>
      <c r="F43" s="11">
        <f>D39*1</f>
        <v>140</v>
      </c>
      <c r="H43" s="43"/>
      <c r="I43" s="71"/>
      <c r="J43" s="71"/>
      <c r="K43" s="71"/>
      <c r="L43" s="39"/>
      <c r="M43" s="39"/>
      <c r="N43" s="40"/>
      <c r="O43" s="41"/>
    </row>
    <row r="44" spans="1:16" ht="15" thickBot="1" x14ac:dyDescent="0.4">
      <c r="E44" s="12" t="s">
        <v>24</v>
      </c>
      <c r="F44" s="13">
        <v>0</v>
      </c>
      <c r="I44" s="71"/>
      <c r="J44" s="71"/>
      <c r="K44" s="71">
        <f>SUM(K41:K43)</f>
        <v>1745660</v>
      </c>
      <c r="L44" s="39"/>
      <c r="M44" s="40"/>
      <c r="N44" s="40"/>
      <c r="O44" s="39"/>
    </row>
    <row r="47" spans="1:16" ht="72.5" x14ac:dyDescent="0.35">
      <c r="A47" s="8" t="s">
        <v>44</v>
      </c>
      <c r="B47" s="4" t="s">
        <v>13</v>
      </c>
      <c r="C47" s="4" t="s">
        <v>20</v>
      </c>
      <c r="D47" s="4" t="s">
        <v>14</v>
      </c>
      <c r="E47" s="4" t="s">
        <v>6</v>
      </c>
      <c r="F47" s="4" t="s">
        <v>46</v>
      </c>
      <c r="G47" s="4" t="s">
        <v>16</v>
      </c>
      <c r="H47" s="4" t="s">
        <v>17</v>
      </c>
      <c r="I47" s="4" t="s">
        <v>18</v>
      </c>
      <c r="J47" s="4" t="s">
        <v>10</v>
      </c>
      <c r="K47" s="4" t="s">
        <v>19</v>
      </c>
      <c r="L47" s="4" t="s">
        <v>11</v>
      </c>
      <c r="M47" s="4" t="s">
        <v>37</v>
      </c>
      <c r="N47" s="4" t="s">
        <v>40</v>
      </c>
      <c r="O47" s="4" t="s">
        <v>21</v>
      </c>
      <c r="P47" s="4" t="s">
        <v>26</v>
      </c>
    </row>
    <row r="48" spans="1:16" ht="15" thickBot="1" x14ac:dyDescent="0.4">
      <c r="A48" s="5">
        <v>4</v>
      </c>
      <c r="B48" s="42">
        <v>783343277</v>
      </c>
      <c r="C48" s="5"/>
      <c r="D48" s="5">
        <f>SUM(H50:H51)</f>
        <v>150</v>
      </c>
      <c r="E48" s="9">
        <v>140</v>
      </c>
      <c r="F48" s="9">
        <f>SUM(F50:F53)</f>
        <v>1870800</v>
      </c>
      <c r="G48" s="5">
        <f>F48/D48</f>
        <v>12472</v>
      </c>
      <c r="H48" s="5">
        <v>1000</v>
      </c>
      <c r="I48" s="5">
        <v>380</v>
      </c>
      <c r="J48" s="5">
        <f>G48+H48+I48</f>
        <v>13852</v>
      </c>
      <c r="K48" s="5">
        <f>J48*D48</f>
        <v>2077800</v>
      </c>
      <c r="L48" s="5">
        <f>L$4/E$4*D48</f>
        <v>1775850</v>
      </c>
      <c r="M48" s="5">
        <f>(J$4*D48)-K48</f>
        <v>-301950</v>
      </c>
      <c r="N48" s="5">
        <f>M48/D48</f>
        <v>-2013</v>
      </c>
      <c r="O48" s="5">
        <f>F50/2</f>
        <v>935175</v>
      </c>
      <c r="P48" s="21">
        <f>F48+O48</f>
        <v>2805975</v>
      </c>
    </row>
    <row r="49" spans="1:16" x14ac:dyDescent="0.35">
      <c r="E49" s="75" t="s">
        <v>22</v>
      </c>
      <c r="F49" s="76"/>
      <c r="G49" s="3" t="s">
        <v>54</v>
      </c>
      <c r="H49" s="3" t="s">
        <v>55</v>
      </c>
      <c r="I49" s="71" t="s">
        <v>56</v>
      </c>
      <c r="J49" s="71" t="s">
        <v>57</v>
      </c>
      <c r="K49" s="71" t="s">
        <v>58</v>
      </c>
      <c r="L49" s="37"/>
      <c r="M49" s="37"/>
      <c r="N49" s="38"/>
      <c r="O49" s="37"/>
    </row>
    <row r="50" spans="1:16" x14ac:dyDescent="0.35">
      <c r="E50" s="10" t="s">
        <v>23</v>
      </c>
      <c r="F50" s="11">
        <f>K53</f>
        <v>1870350</v>
      </c>
      <c r="G50" s="3" t="s">
        <v>59</v>
      </c>
      <c r="H50" s="43">
        <v>150</v>
      </c>
      <c r="I50" s="71">
        <v>12469</v>
      </c>
      <c r="J50" s="71">
        <v>1</v>
      </c>
      <c r="K50" s="71">
        <f>H50*I50*J50</f>
        <v>1870350</v>
      </c>
      <c r="L50" s="39"/>
      <c r="M50" s="40"/>
      <c r="N50" s="39"/>
      <c r="O50" s="39"/>
    </row>
    <row r="51" spans="1:16" x14ac:dyDescent="0.35">
      <c r="E51" s="10" t="s">
        <v>49</v>
      </c>
      <c r="F51" s="11">
        <f>D48*2</f>
        <v>300</v>
      </c>
      <c r="H51" s="43"/>
      <c r="I51" s="71"/>
      <c r="J51" s="71"/>
      <c r="K51" s="71"/>
      <c r="L51" s="39"/>
      <c r="M51" s="40"/>
      <c r="N51" s="39"/>
      <c r="O51" s="39"/>
    </row>
    <row r="52" spans="1:16" ht="29" x14ac:dyDescent="0.35">
      <c r="E52" s="10" t="s">
        <v>50</v>
      </c>
      <c r="F52" s="11">
        <f>D48*1</f>
        <v>150</v>
      </c>
      <c r="H52" s="43"/>
      <c r="I52" s="71"/>
      <c r="J52" s="71"/>
      <c r="K52" s="71"/>
      <c r="L52" s="39"/>
      <c r="M52" s="39"/>
      <c r="N52" s="40"/>
      <c r="O52" s="41"/>
    </row>
    <row r="53" spans="1:16" ht="15" thickBot="1" x14ac:dyDescent="0.4">
      <c r="E53" s="12" t="s">
        <v>24</v>
      </c>
      <c r="F53" s="13">
        <v>0</v>
      </c>
      <c r="I53" s="71"/>
      <c r="J53" s="71"/>
      <c r="K53" s="71">
        <f>SUM(K50:K52)</f>
        <v>1870350</v>
      </c>
      <c r="L53" s="39"/>
      <c r="M53" s="40"/>
      <c r="N53" s="40"/>
      <c r="O53" s="39"/>
    </row>
    <row r="56" spans="1:16" ht="72.5" x14ac:dyDescent="0.35">
      <c r="A56" s="8" t="s">
        <v>44</v>
      </c>
      <c r="B56" s="4" t="s">
        <v>13</v>
      </c>
      <c r="C56" s="4" t="s">
        <v>20</v>
      </c>
      <c r="D56" s="4" t="s">
        <v>14</v>
      </c>
      <c r="E56" s="4" t="s">
        <v>6</v>
      </c>
      <c r="F56" s="4" t="s">
        <v>46</v>
      </c>
      <c r="G56" s="4" t="s">
        <v>16</v>
      </c>
      <c r="H56" s="4" t="s">
        <v>17</v>
      </c>
      <c r="I56" s="4" t="s">
        <v>18</v>
      </c>
      <c r="J56" s="4" t="s">
        <v>10</v>
      </c>
      <c r="K56" s="4" t="s">
        <v>19</v>
      </c>
      <c r="L56" s="4" t="s">
        <v>11</v>
      </c>
      <c r="M56" s="4" t="s">
        <v>37</v>
      </c>
      <c r="N56" s="4" t="s">
        <v>40</v>
      </c>
      <c r="O56" s="4" t="s">
        <v>21</v>
      </c>
      <c r="P56" s="4" t="s">
        <v>26</v>
      </c>
    </row>
    <row r="57" spans="1:16" ht="15" thickBot="1" x14ac:dyDescent="0.4">
      <c r="A57" s="5">
        <v>5</v>
      </c>
      <c r="B57" s="42">
        <v>783343278</v>
      </c>
      <c r="C57" s="5"/>
      <c r="D57" s="5">
        <f>SUM(H59:H60)</f>
        <v>138</v>
      </c>
      <c r="E57" s="9">
        <v>150</v>
      </c>
      <c r="F57" s="9">
        <f>SUM(F59:F62)</f>
        <v>1721136</v>
      </c>
      <c r="G57" s="5">
        <f>F57/D57</f>
        <v>12472</v>
      </c>
      <c r="H57" s="5">
        <v>1000</v>
      </c>
      <c r="I57" s="5">
        <v>380</v>
      </c>
      <c r="J57" s="5">
        <f>G57+H57+I57</f>
        <v>13852</v>
      </c>
      <c r="K57" s="5">
        <f>J57*D57</f>
        <v>1911576</v>
      </c>
      <c r="L57" s="5">
        <f>L$4/E$4*D57</f>
        <v>1633782</v>
      </c>
      <c r="M57" s="5">
        <f>(J$4*D57)-K57</f>
        <v>-277794</v>
      </c>
      <c r="N57" s="5">
        <f>M57/D57</f>
        <v>-2013</v>
      </c>
      <c r="O57" s="5">
        <f>F59/2</f>
        <v>860361</v>
      </c>
      <c r="P57" s="21">
        <f>F57+O57</f>
        <v>2581497</v>
      </c>
    </row>
    <row r="58" spans="1:16" x14ac:dyDescent="0.35">
      <c r="E58" s="75" t="s">
        <v>22</v>
      </c>
      <c r="F58" s="76"/>
      <c r="G58" s="3" t="s">
        <v>54</v>
      </c>
      <c r="H58" s="3" t="s">
        <v>55</v>
      </c>
      <c r="I58" s="71" t="s">
        <v>56</v>
      </c>
      <c r="J58" s="71" t="s">
        <v>57</v>
      </c>
      <c r="K58" s="71" t="s">
        <v>58</v>
      </c>
      <c r="L58" s="37"/>
      <c r="M58" s="37"/>
      <c r="N58" s="38"/>
      <c r="O58" s="37"/>
    </row>
    <row r="59" spans="1:16" x14ac:dyDescent="0.35">
      <c r="E59" s="10" t="s">
        <v>23</v>
      </c>
      <c r="F59" s="11">
        <f>K62</f>
        <v>1720722</v>
      </c>
      <c r="G59" s="3" t="s">
        <v>59</v>
      </c>
      <c r="H59" s="43">
        <v>138</v>
      </c>
      <c r="I59" s="71">
        <v>12469</v>
      </c>
      <c r="J59" s="71">
        <v>1</v>
      </c>
      <c r="K59" s="71">
        <f>H59*I59*J59</f>
        <v>1720722</v>
      </c>
      <c r="L59" s="39"/>
      <c r="M59" s="40"/>
      <c r="N59" s="39"/>
      <c r="O59" s="39"/>
    </row>
    <row r="60" spans="1:16" x14ac:dyDescent="0.35">
      <c r="E60" s="10" t="s">
        <v>49</v>
      </c>
      <c r="F60" s="11">
        <f>D57*2</f>
        <v>276</v>
      </c>
      <c r="H60" s="43"/>
      <c r="I60" s="71"/>
      <c r="J60" s="71"/>
      <c r="K60" s="71"/>
      <c r="L60" s="39"/>
      <c r="M60" s="40"/>
      <c r="N60" s="39"/>
      <c r="O60" s="39"/>
    </row>
    <row r="61" spans="1:16" ht="29" x14ac:dyDescent="0.35">
      <c r="E61" s="10" t="s">
        <v>50</v>
      </c>
      <c r="F61" s="11">
        <f>D57*1</f>
        <v>138</v>
      </c>
      <c r="H61" s="43"/>
      <c r="I61" s="71"/>
      <c r="J61" s="71"/>
      <c r="K61" s="71"/>
      <c r="L61" s="39"/>
      <c r="M61" s="39"/>
      <c r="N61" s="40"/>
      <c r="O61" s="41"/>
    </row>
    <row r="62" spans="1:16" ht="15" thickBot="1" x14ac:dyDescent="0.4">
      <c r="E62" s="12" t="s">
        <v>24</v>
      </c>
      <c r="F62" s="13">
        <v>0</v>
      </c>
      <c r="I62" s="71"/>
      <c r="J62" s="71"/>
      <c r="K62" s="71">
        <f>SUM(K59:K61)</f>
        <v>1720722</v>
      </c>
      <c r="L62" s="39"/>
      <c r="M62" s="40"/>
      <c r="N62" s="40"/>
      <c r="O62" s="39"/>
    </row>
    <row r="64" spans="1:16" ht="72.5" x14ac:dyDescent="0.35">
      <c r="A64" s="8" t="s">
        <v>44</v>
      </c>
      <c r="B64" s="4" t="s">
        <v>13</v>
      </c>
      <c r="C64" s="4" t="s">
        <v>20</v>
      </c>
      <c r="D64" s="4" t="s">
        <v>14</v>
      </c>
      <c r="E64" s="4" t="s">
        <v>6</v>
      </c>
      <c r="F64" s="4" t="s">
        <v>46</v>
      </c>
      <c r="G64" s="4" t="s">
        <v>16</v>
      </c>
      <c r="H64" s="4" t="s">
        <v>17</v>
      </c>
      <c r="I64" s="4" t="s">
        <v>18</v>
      </c>
      <c r="J64" s="4" t="s">
        <v>10</v>
      </c>
      <c r="K64" s="4" t="s">
        <v>19</v>
      </c>
      <c r="L64" s="4" t="s">
        <v>11</v>
      </c>
      <c r="M64" s="4" t="s">
        <v>37</v>
      </c>
      <c r="N64" s="4" t="s">
        <v>40</v>
      </c>
      <c r="O64" s="4" t="s">
        <v>21</v>
      </c>
      <c r="P64" s="4" t="s">
        <v>26</v>
      </c>
    </row>
    <row r="65" spans="1:16" ht="15" thickBot="1" x14ac:dyDescent="0.4">
      <c r="A65" s="5">
        <v>6</v>
      </c>
      <c r="B65" s="42">
        <v>783343289</v>
      </c>
      <c r="C65" s="5"/>
      <c r="D65" s="5">
        <f>SUM(H67:H68)</f>
        <v>170</v>
      </c>
      <c r="E65" s="9">
        <v>160</v>
      </c>
      <c r="F65" s="9">
        <f>SUM(F67:F70)</f>
        <v>2120240</v>
      </c>
      <c r="G65" s="5">
        <f>F65/D65</f>
        <v>12472</v>
      </c>
      <c r="H65" s="5">
        <v>1000</v>
      </c>
      <c r="I65" s="5">
        <v>380</v>
      </c>
      <c r="J65" s="5">
        <f>G65+H65+I65</f>
        <v>13852</v>
      </c>
      <c r="K65" s="5">
        <f>J65*D65</f>
        <v>2354840</v>
      </c>
      <c r="L65" s="5">
        <f>L$4/E$4*D65</f>
        <v>2012630</v>
      </c>
      <c r="M65" s="5">
        <f>(J$4*D65)-K65</f>
        <v>-342210</v>
      </c>
      <c r="N65" s="5">
        <f>M65/D65</f>
        <v>-2013</v>
      </c>
      <c r="O65" s="5">
        <f>F67/2</f>
        <v>1059865</v>
      </c>
      <c r="P65" s="21">
        <f>F65+O65</f>
        <v>3180105</v>
      </c>
    </row>
    <row r="66" spans="1:16" x14ac:dyDescent="0.35">
      <c r="E66" s="75" t="s">
        <v>22</v>
      </c>
      <c r="F66" s="76"/>
      <c r="G66" s="3" t="s">
        <v>54</v>
      </c>
      <c r="H66" s="3" t="s">
        <v>55</v>
      </c>
      <c r="I66" s="71" t="s">
        <v>56</v>
      </c>
      <c r="J66" s="71" t="s">
        <v>57</v>
      </c>
      <c r="K66" s="71" t="s">
        <v>58</v>
      </c>
      <c r="L66" s="37"/>
      <c r="M66" s="37"/>
      <c r="N66" s="38"/>
      <c r="O66" s="37"/>
    </row>
    <row r="67" spans="1:16" x14ac:dyDescent="0.35">
      <c r="E67" s="10" t="s">
        <v>23</v>
      </c>
      <c r="F67" s="11">
        <f>K70</f>
        <v>2119730</v>
      </c>
      <c r="G67" s="3" t="s">
        <v>59</v>
      </c>
      <c r="H67" s="43">
        <v>170</v>
      </c>
      <c r="I67" s="71">
        <v>12469</v>
      </c>
      <c r="J67" s="71">
        <v>1</v>
      </c>
      <c r="K67" s="71">
        <f>H67*I67*J67</f>
        <v>2119730</v>
      </c>
      <c r="L67" s="39"/>
      <c r="M67" s="40"/>
      <c r="N67" s="39"/>
      <c r="O67" s="39"/>
    </row>
    <row r="68" spans="1:16" x14ac:dyDescent="0.35">
      <c r="E68" s="10" t="s">
        <v>49</v>
      </c>
      <c r="F68" s="11">
        <f>D65*2</f>
        <v>340</v>
      </c>
      <c r="H68" s="43"/>
      <c r="I68" s="71"/>
      <c r="J68" s="71"/>
      <c r="K68" s="71"/>
      <c r="L68" s="39"/>
      <c r="M68" s="40"/>
      <c r="N68" s="39"/>
      <c r="O68" s="39"/>
    </row>
    <row r="69" spans="1:16" ht="29" x14ac:dyDescent="0.35">
      <c r="E69" s="10" t="s">
        <v>50</v>
      </c>
      <c r="F69" s="11">
        <f>D65*1</f>
        <v>170</v>
      </c>
      <c r="H69" s="43"/>
      <c r="I69" s="71"/>
      <c r="J69" s="71"/>
      <c r="K69" s="71"/>
      <c r="L69" s="39"/>
      <c r="M69" s="39"/>
      <c r="N69" s="40"/>
      <c r="O69" s="41"/>
    </row>
    <row r="70" spans="1:16" ht="15" thickBot="1" x14ac:dyDescent="0.4">
      <c r="E70" s="12" t="s">
        <v>24</v>
      </c>
      <c r="F70" s="13">
        <v>0</v>
      </c>
      <c r="I70" s="71"/>
      <c r="J70" s="71"/>
      <c r="K70" s="71">
        <f>SUM(K67:K69)</f>
        <v>2119730</v>
      </c>
      <c r="L70" s="39"/>
      <c r="M70" s="40"/>
      <c r="N70" s="40"/>
      <c r="O70" s="39"/>
    </row>
    <row r="72" spans="1:16" ht="72.5" x14ac:dyDescent="0.35">
      <c r="A72" s="8" t="s">
        <v>44</v>
      </c>
      <c r="B72" s="4" t="s">
        <v>13</v>
      </c>
      <c r="C72" s="4" t="s">
        <v>20</v>
      </c>
      <c r="D72" s="4" t="s">
        <v>14</v>
      </c>
      <c r="E72" s="4" t="s">
        <v>6</v>
      </c>
      <c r="F72" s="4" t="s">
        <v>46</v>
      </c>
      <c r="G72" s="4" t="s">
        <v>16</v>
      </c>
      <c r="H72" s="4" t="s">
        <v>17</v>
      </c>
      <c r="I72" s="4" t="s">
        <v>18</v>
      </c>
      <c r="J72" s="4" t="s">
        <v>10</v>
      </c>
      <c r="K72" s="4" t="s">
        <v>19</v>
      </c>
      <c r="L72" s="4" t="s">
        <v>11</v>
      </c>
      <c r="M72" s="4" t="s">
        <v>37</v>
      </c>
      <c r="N72" s="4" t="s">
        <v>40</v>
      </c>
      <c r="O72" s="4" t="s">
        <v>21</v>
      </c>
      <c r="P72" s="4" t="s">
        <v>26</v>
      </c>
    </row>
    <row r="73" spans="1:16" ht="15" thickBot="1" x14ac:dyDescent="0.4">
      <c r="A73" s="5">
        <v>7</v>
      </c>
      <c r="B73" s="42">
        <v>783343292</v>
      </c>
      <c r="C73" s="5"/>
      <c r="D73" s="5">
        <f>SUM(H75:H76)</f>
        <v>165</v>
      </c>
      <c r="E73" s="9">
        <v>155</v>
      </c>
      <c r="F73" s="9">
        <f>SUM(F75:F78)</f>
        <v>2057880</v>
      </c>
      <c r="G73" s="5">
        <f>F73/D73</f>
        <v>12472</v>
      </c>
      <c r="H73" s="5">
        <v>1000</v>
      </c>
      <c r="I73" s="5">
        <v>380</v>
      </c>
      <c r="J73" s="5">
        <f>G73+H73+I73</f>
        <v>13852</v>
      </c>
      <c r="K73" s="5">
        <f>J73*D73</f>
        <v>2285580</v>
      </c>
      <c r="L73" s="5">
        <f>L$4/E$4*D73</f>
        <v>1953435</v>
      </c>
      <c r="M73" s="5">
        <f>(J$4*D73)-K73</f>
        <v>-332145</v>
      </c>
      <c r="N73" s="5">
        <f>M73/D73</f>
        <v>-2013</v>
      </c>
      <c r="O73" s="5">
        <f>F75/2</f>
        <v>1028692.5</v>
      </c>
      <c r="P73" s="21">
        <f>F73+O73</f>
        <v>3086572.5</v>
      </c>
    </row>
    <row r="74" spans="1:16" x14ac:dyDescent="0.35">
      <c r="E74" s="75" t="s">
        <v>22</v>
      </c>
      <c r="F74" s="76"/>
      <c r="G74" s="3" t="s">
        <v>54</v>
      </c>
      <c r="H74" s="3" t="s">
        <v>55</v>
      </c>
      <c r="I74" s="71" t="s">
        <v>56</v>
      </c>
      <c r="J74" s="71" t="s">
        <v>57</v>
      </c>
      <c r="K74" s="71" t="s">
        <v>58</v>
      </c>
      <c r="L74" s="37"/>
      <c r="M74" s="37"/>
      <c r="N74" s="38"/>
      <c r="O74" s="37"/>
    </row>
    <row r="75" spans="1:16" x14ac:dyDescent="0.35">
      <c r="E75" s="10" t="s">
        <v>23</v>
      </c>
      <c r="F75" s="11">
        <f>K78</f>
        <v>2057385</v>
      </c>
      <c r="G75" s="3" t="s">
        <v>59</v>
      </c>
      <c r="H75" s="43">
        <v>165</v>
      </c>
      <c r="I75" s="71">
        <v>12469</v>
      </c>
      <c r="J75" s="71">
        <v>1</v>
      </c>
      <c r="K75" s="71">
        <f>H75*I75*J75</f>
        <v>2057385</v>
      </c>
      <c r="L75" s="39"/>
      <c r="M75" s="40"/>
      <c r="N75" s="39"/>
      <c r="O75" s="39"/>
    </row>
    <row r="76" spans="1:16" x14ac:dyDescent="0.35">
      <c r="E76" s="10" t="s">
        <v>49</v>
      </c>
      <c r="F76" s="11">
        <f>D73*2</f>
        <v>330</v>
      </c>
      <c r="H76" s="43"/>
      <c r="I76" s="71"/>
      <c r="J76" s="71"/>
      <c r="K76" s="71"/>
      <c r="L76" s="39"/>
      <c r="M76" s="40"/>
      <c r="N76" s="39"/>
      <c r="O76" s="39"/>
    </row>
    <row r="77" spans="1:16" ht="29" x14ac:dyDescent="0.35">
      <c r="E77" s="10" t="s">
        <v>50</v>
      </c>
      <c r="F77" s="11">
        <f>D73*1</f>
        <v>165</v>
      </c>
      <c r="H77" s="43"/>
      <c r="I77" s="71"/>
      <c r="J77" s="71"/>
      <c r="K77" s="71"/>
      <c r="L77" s="39"/>
      <c r="M77" s="39"/>
      <c r="N77" s="40"/>
      <c r="O77" s="41"/>
    </row>
    <row r="78" spans="1:16" ht="15" thickBot="1" x14ac:dyDescent="0.4">
      <c r="E78" s="12" t="s">
        <v>24</v>
      </c>
      <c r="F78" s="13">
        <v>0</v>
      </c>
      <c r="I78" s="71"/>
      <c r="J78" s="71"/>
      <c r="K78" s="71">
        <f>SUM(K75:K77)</f>
        <v>2057385</v>
      </c>
      <c r="L78" s="39"/>
      <c r="M78" s="40"/>
      <c r="N78" s="40"/>
      <c r="O78" s="39"/>
    </row>
    <row r="80" spans="1:16" ht="72.5" x14ac:dyDescent="0.35">
      <c r="A80" s="8" t="s">
        <v>44</v>
      </c>
      <c r="B80" s="4" t="s">
        <v>13</v>
      </c>
      <c r="C80" s="4" t="s">
        <v>20</v>
      </c>
      <c r="D80" s="4" t="s">
        <v>14</v>
      </c>
      <c r="E80" s="4" t="s">
        <v>6</v>
      </c>
      <c r="F80" s="4" t="s">
        <v>46</v>
      </c>
      <c r="G80" s="4" t="s">
        <v>16</v>
      </c>
      <c r="H80" s="4" t="s">
        <v>17</v>
      </c>
      <c r="I80" s="4" t="s">
        <v>18</v>
      </c>
      <c r="J80" s="4" t="s">
        <v>10</v>
      </c>
      <c r="K80" s="4" t="s">
        <v>19</v>
      </c>
      <c r="L80" s="4" t="s">
        <v>11</v>
      </c>
      <c r="M80" s="4" t="s">
        <v>37</v>
      </c>
      <c r="N80" s="4" t="s">
        <v>40</v>
      </c>
      <c r="O80" s="4" t="s">
        <v>21</v>
      </c>
      <c r="P80" s="4" t="s">
        <v>26</v>
      </c>
    </row>
    <row r="81" spans="1:16" ht="15" thickBot="1" x14ac:dyDescent="0.4">
      <c r="A81" s="5">
        <v>8</v>
      </c>
      <c r="B81" s="42">
        <v>783343295</v>
      </c>
      <c r="C81" s="5"/>
      <c r="D81" s="5">
        <f>SUM(H83:H84)</f>
        <v>165</v>
      </c>
      <c r="E81" s="9">
        <v>155</v>
      </c>
      <c r="F81" s="9">
        <f>SUM(F83:F86)</f>
        <v>2057880</v>
      </c>
      <c r="G81" s="5">
        <f>F81/D81</f>
        <v>12472</v>
      </c>
      <c r="H81" s="5">
        <v>1000</v>
      </c>
      <c r="I81" s="5">
        <v>380</v>
      </c>
      <c r="J81" s="5">
        <f>G81+H81+I81</f>
        <v>13852</v>
      </c>
      <c r="K81" s="5">
        <f>J81*D81</f>
        <v>2285580</v>
      </c>
      <c r="L81" s="5">
        <f>L$4/E$4*D81</f>
        <v>1953435</v>
      </c>
      <c r="M81" s="5">
        <f>(J$4*D81)-K81</f>
        <v>-332145</v>
      </c>
      <c r="N81" s="5">
        <f>M81/D81</f>
        <v>-2013</v>
      </c>
      <c r="O81" s="5">
        <f>F83/2</f>
        <v>1028692.5</v>
      </c>
      <c r="P81" s="21">
        <f>F81+O81</f>
        <v>3086572.5</v>
      </c>
    </row>
    <row r="82" spans="1:16" x14ac:dyDescent="0.35">
      <c r="E82" s="75" t="s">
        <v>22</v>
      </c>
      <c r="F82" s="76"/>
      <c r="G82" s="3" t="s">
        <v>54</v>
      </c>
      <c r="H82" s="3" t="s">
        <v>55</v>
      </c>
      <c r="I82" s="71" t="s">
        <v>56</v>
      </c>
      <c r="J82" s="71" t="s">
        <v>57</v>
      </c>
      <c r="K82" s="71" t="s">
        <v>58</v>
      </c>
      <c r="L82" s="37"/>
      <c r="M82" s="37"/>
      <c r="N82" s="38"/>
      <c r="O82" s="37"/>
    </row>
    <row r="83" spans="1:16" x14ac:dyDescent="0.35">
      <c r="E83" s="10" t="s">
        <v>23</v>
      </c>
      <c r="F83" s="11">
        <f>K86</f>
        <v>2057385</v>
      </c>
      <c r="G83" s="3" t="s">
        <v>59</v>
      </c>
      <c r="H83" s="43">
        <v>165</v>
      </c>
      <c r="I83" s="71">
        <v>12469</v>
      </c>
      <c r="J83" s="71">
        <v>1</v>
      </c>
      <c r="K83" s="71">
        <f>H83*I83*J83</f>
        <v>2057385</v>
      </c>
      <c r="L83" s="39"/>
      <c r="M83" s="40"/>
      <c r="N83" s="39"/>
      <c r="O83" s="39"/>
    </row>
    <row r="84" spans="1:16" x14ac:dyDescent="0.35">
      <c r="E84" s="10" t="s">
        <v>49</v>
      </c>
      <c r="F84" s="11">
        <f>D81*2</f>
        <v>330</v>
      </c>
      <c r="H84" s="43"/>
      <c r="I84" s="71"/>
      <c r="J84" s="71"/>
      <c r="K84" s="71"/>
      <c r="L84" s="39"/>
      <c r="M84" s="40"/>
      <c r="N84" s="39"/>
      <c r="O84" s="39"/>
    </row>
    <row r="85" spans="1:16" ht="29" x14ac:dyDescent="0.35">
      <c r="E85" s="10" t="s">
        <v>50</v>
      </c>
      <c r="F85" s="11">
        <f>D81*1</f>
        <v>165</v>
      </c>
      <c r="H85" s="43"/>
      <c r="I85" s="71"/>
      <c r="J85" s="71"/>
      <c r="K85" s="71"/>
      <c r="L85" s="39"/>
      <c r="M85" s="39"/>
      <c r="N85" s="40"/>
      <c r="O85" s="41"/>
    </row>
    <row r="86" spans="1:16" ht="15" thickBot="1" x14ac:dyDescent="0.4">
      <c r="E86" s="12" t="s">
        <v>24</v>
      </c>
      <c r="F86" s="13">
        <v>0</v>
      </c>
      <c r="I86" s="71"/>
      <c r="J86" s="71"/>
      <c r="K86" s="71">
        <f>SUM(K83:K85)</f>
        <v>2057385</v>
      </c>
      <c r="L86" s="39"/>
      <c r="M86" s="40"/>
      <c r="N86" s="40"/>
      <c r="O86" s="39"/>
    </row>
    <row r="88" spans="1:16" ht="72.5" x14ac:dyDescent="0.35">
      <c r="A88" s="8" t="s">
        <v>44</v>
      </c>
      <c r="B88" s="4" t="s">
        <v>13</v>
      </c>
      <c r="C88" s="4" t="s">
        <v>20</v>
      </c>
      <c r="D88" s="4" t="s">
        <v>14</v>
      </c>
      <c r="E88" s="4" t="s">
        <v>6</v>
      </c>
      <c r="F88" s="4" t="s">
        <v>46</v>
      </c>
      <c r="G88" s="4" t="s">
        <v>16</v>
      </c>
      <c r="H88" s="4" t="s">
        <v>17</v>
      </c>
      <c r="I88" s="4" t="s">
        <v>18</v>
      </c>
      <c r="J88" s="4" t="s">
        <v>10</v>
      </c>
      <c r="K88" s="4" t="s">
        <v>19</v>
      </c>
      <c r="L88" s="4" t="s">
        <v>11</v>
      </c>
      <c r="M88" s="4" t="s">
        <v>37</v>
      </c>
      <c r="N88" s="4" t="s">
        <v>40</v>
      </c>
      <c r="O88" s="4" t="s">
        <v>21</v>
      </c>
      <c r="P88" s="4" t="s">
        <v>26</v>
      </c>
    </row>
    <row r="89" spans="1:16" ht="15" thickBot="1" x14ac:dyDescent="0.4">
      <c r="A89" s="5">
        <v>9</v>
      </c>
      <c r="B89" s="42">
        <v>783343296</v>
      </c>
      <c r="C89" s="5"/>
      <c r="D89" s="5">
        <f>SUM(H91:H92)</f>
        <v>120</v>
      </c>
      <c r="E89" s="9">
        <v>110</v>
      </c>
      <c r="F89" s="9">
        <f>SUM(F91:F94)</f>
        <v>1496640</v>
      </c>
      <c r="G89" s="5">
        <f>F89/D89</f>
        <v>12472</v>
      </c>
      <c r="H89" s="5">
        <v>1000</v>
      </c>
      <c r="I89" s="5">
        <v>380</v>
      </c>
      <c r="J89" s="5">
        <f>G89+H89+I89</f>
        <v>13852</v>
      </c>
      <c r="K89" s="5">
        <f>J89*D89</f>
        <v>1662240</v>
      </c>
      <c r="L89" s="5">
        <f>L$4/E$4*D89</f>
        <v>1420680</v>
      </c>
      <c r="M89" s="5">
        <f>(J$4*D89)-K89</f>
        <v>-241560</v>
      </c>
      <c r="N89" s="5">
        <f>M89/D89</f>
        <v>-2013</v>
      </c>
      <c r="O89" s="5">
        <f>F91/2</f>
        <v>748140</v>
      </c>
      <c r="P89" s="21">
        <f>F89+O89</f>
        <v>2244780</v>
      </c>
    </row>
    <row r="90" spans="1:16" x14ac:dyDescent="0.35">
      <c r="E90" s="75" t="s">
        <v>22</v>
      </c>
      <c r="F90" s="76"/>
      <c r="G90" s="3" t="s">
        <v>54</v>
      </c>
      <c r="H90" s="3" t="s">
        <v>55</v>
      </c>
      <c r="I90" s="71" t="s">
        <v>56</v>
      </c>
      <c r="J90" s="71" t="s">
        <v>57</v>
      </c>
      <c r="K90" s="71" t="s">
        <v>58</v>
      </c>
      <c r="L90" s="37"/>
      <c r="M90" s="37"/>
      <c r="N90" s="38"/>
      <c r="O90" s="37"/>
    </row>
    <row r="91" spans="1:16" x14ac:dyDescent="0.35">
      <c r="E91" s="10" t="s">
        <v>23</v>
      </c>
      <c r="F91" s="11">
        <f>K94</f>
        <v>1496280</v>
      </c>
      <c r="G91" s="3" t="s">
        <v>59</v>
      </c>
      <c r="H91" s="43">
        <v>120</v>
      </c>
      <c r="I91" s="71">
        <v>12469</v>
      </c>
      <c r="J91" s="71">
        <v>1</v>
      </c>
      <c r="K91" s="71">
        <f>H91*I91*J91</f>
        <v>1496280</v>
      </c>
      <c r="L91" s="39"/>
      <c r="M91" s="40"/>
      <c r="N91" s="39"/>
      <c r="O91" s="39"/>
    </row>
    <row r="92" spans="1:16" x14ac:dyDescent="0.35">
      <c r="E92" s="10" t="s">
        <v>49</v>
      </c>
      <c r="F92" s="11">
        <f>D89*2</f>
        <v>240</v>
      </c>
      <c r="H92" s="43"/>
      <c r="I92" s="71"/>
      <c r="J92" s="71"/>
      <c r="K92" s="71"/>
      <c r="L92" s="39"/>
      <c r="M92" s="40"/>
      <c r="N92" s="39"/>
      <c r="O92" s="39"/>
    </row>
    <row r="93" spans="1:16" ht="29" x14ac:dyDescent="0.35">
      <c r="E93" s="10" t="s">
        <v>50</v>
      </c>
      <c r="F93" s="11">
        <f>D89*1</f>
        <v>120</v>
      </c>
      <c r="H93" s="43"/>
      <c r="I93" s="71"/>
      <c r="J93" s="71"/>
      <c r="K93" s="71"/>
      <c r="L93" s="39"/>
      <c r="M93" s="39"/>
      <c r="N93" s="40"/>
      <c r="O93" s="41"/>
    </row>
    <row r="94" spans="1:16" ht="15" thickBot="1" x14ac:dyDescent="0.4">
      <c r="E94" s="12" t="s">
        <v>24</v>
      </c>
      <c r="F94" s="13">
        <v>0</v>
      </c>
      <c r="I94" s="71"/>
      <c r="J94" s="71"/>
      <c r="K94" s="71">
        <f>SUM(K91:K93)</f>
        <v>1496280</v>
      </c>
      <c r="L94" s="39"/>
      <c r="M94" s="40"/>
      <c r="N94" s="40"/>
      <c r="O94" s="39"/>
    </row>
    <row r="96" spans="1:16" ht="72.5" x14ac:dyDescent="0.35">
      <c r="A96" s="8" t="s">
        <v>44</v>
      </c>
      <c r="B96" s="4" t="s">
        <v>13</v>
      </c>
      <c r="C96" s="4" t="s">
        <v>20</v>
      </c>
      <c r="D96" s="4" t="s">
        <v>14</v>
      </c>
      <c r="E96" s="4" t="s">
        <v>6</v>
      </c>
      <c r="F96" s="4" t="s">
        <v>46</v>
      </c>
      <c r="G96" s="4" t="s">
        <v>16</v>
      </c>
      <c r="H96" s="4" t="s">
        <v>17</v>
      </c>
      <c r="I96" s="4" t="s">
        <v>18</v>
      </c>
      <c r="J96" s="4" t="s">
        <v>10</v>
      </c>
      <c r="K96" s="4" t="s">
        <v>19</v>
      </c>
      <c r="L96" s="4" t="s">
        <v>11</v>
      </c>
      <c r="M96" s="4" t="s">
        <v>37</v>
      </c>
      <c r="N96" s="4" t="s">
        <v>40</v>
      </c>
      <c r="O96" s="4" t="s">
        <v>21</v>
      </c>
      <c r="P96" s="4" t="s">
        <v>26</v>
      </c>
    </row>
    <row r="97" spans="1:16" ht="15" thickBot="1" x14ac:dyDescent="0.4">
      <c r="A97" s="5">
        <v>10</v>
      </c>
      <c r="B97" s="42">
        <v>783343302</v>
      </c>
      <c r="C97" s="5"/>
      <c r="D97" s="5">
        <f>SUM(H99:H100)</f>
        <v>140</v>
      </c>
      <c r="E97" s="9">
        <v>130</v>
      </c>
      <c r="F97" s="9">
        <f>SUM(F99:F102)</f>
        <v>1746080</v>
      </c>
      <c r="G97" s="5">
        <f>F97/D97</f>
        <v>12472</v>
      </c>
      <c r="H97" s="5">
        <v>1000</v>
      </c>
      <c r="I97" s="5">
        <v>380</v>
      </c>
      <c r="J97" s="5">
        <f>G97+H97+I97</f>
        <v>13852</v>
      </c>
      <c r="K97" s="5">
        <f>J97*D97</f>
        <v>1939280</v>
      </c>
      <c r="L97" s="5">
        <f>L$4/E$4*D97</f>
        <v>1657460</v>
      </c>
      <c r="M97" s="5">
        <f>(J$4*D97)-K97</f>
        <v>-281820</v>
      </c>
      <c r="N97" s="5">
        <f>M97/D97</f>
        <v>-2013</v>
      </c>
      <c r="O97" s="5">
        <f>F99/2</f>
        <v>872830</v>
      </c>
      <c r="P97" s="21">
        <f>F97+O97</f>
        <v>2618910</v>
      </c>
    </row>
    <row r="98" spans="1:16" x14ac:dyDescent="0.35">
      <c r="E98" s="75" t="s">
        <v>22</v>
      </c>
      <c r="F98" s="76"/>
      <c r="G98" s="3" t="s">
        <v>54</v>
      </c>
      <c r="H98" s="3" t="s">
        <v>55</v>
      </c>
      <c r="I98" s="71" t="s">
        <v>56</v>
      </c>
      <c r="J98" s="71" t="s">
        <v>57</v>
      </c>
      <c r="K98" s="71" t="s">
        <v>58</v>
      </c>
      <c r="L98" s="37"/>
      <c r="M98" s="37"/>
      <c r="N98" s="38"/>
      <c r="O98" s="37"/>
    </row>
    <row r="99" spans="1:16" x14ac:dyDescent="0.35">
      <c r="E99" s="10" t="s">
        <v>23</v>
      </c>
      <c r="F99" s="11">
        <f>K102</f>
        <v>1745660</v>
      </c>
      <c r="G99" s="3" t="s">
        <v>59</v>
      </c>
      <c r="H99" s="43">
        <v>140</v>
      </c>
      <c r="I99" s="71">
        <v>12469</v>
      </c>
      <c r="J99" s="71">
        <v>1</v>
      </c>
      <c r="K99" s="71">
        <f>H99*I99*J99</f>
        <v>1745660</v>
      </c>
      <c r="L99" s="39"/>
      <c r="M99" s="40"/>
      <c r="N99" s="39"/>
      <c r="O99" s="39"/>
    </row>
    <row r="100" spans="1:16" x14ac:dyDescent="0.35">
      <c r="E100" s="10" t="s">
        <v>49</v>
      </c>
      <c r="F100" s="11">
        <f>D97*2</f>
        <v>280</v>
      </c>
      <c r="H100" s="43"/>
      <c r="I100" s="71"/>
      <c r="J100" s="71"/>
      <c r="K100" s="71"/>
      <c r="L100" s="39"/>
      <c r="M100" s="40"/>
      <c r="N100" s="39"/>
      <c r="O100" s="39"/>
    </row>
    <row r="101" spans="1:16" ht="29" x14ac:dyDescent="0.35">
      <c r="E101" s="10" t="s">
        <v>50</v>
      </c>
      <c r="F101" s="11">
        <f>D97*1</f>
        <v>140</v>
      </c>
      <c r="H101" s="43"/>
      <c r="I101" s="71"/>
      <c r="J101" s="71"/>
      <c r="K101" s="71"/>
      <c r="L101" s="39"/>
      <c r="M101" s="39"/>
      <c r="N101" s="40"/>
      <c r="O101" s="41"/>
    </row>
    <row r="102" spans="1:16" ht="15" thickBot="1" x14ac:dyDescent="0.4">
      <c r="E102" s="12" t="s">
        <v>24</v>
      </c>
      <c r="F102" s="13">
        <v>0</v>
      </c>
      <c r="I102" s="71"/>
      <c r="J102" s="71"/>
      <c r="K102" s="71">
        <f>SUM(K99:K101)</f>
        <v>1745660</v>
      </c>
      <c r="L102" s="39"/>
      <c r="M102" s="40"/>
      <c r="N102" s="40"/>
      <c r="O102" s="39"/>
    </row>
    <row r="104" spans="1:16" ht="72.5" x14ac:dyDescent="0.35">
      <c r="A104" s="8" t="s">
        <v>44</v>
      </c>
      <c r="B104" s="4" t="s">
        <v>13</v>
      </c>
      <c r="C104" s="4" t="s">
        <v>20</v>
      </c>
      <c r="D104" s="4" t="s">
        <v>14</v>
      </c>
      <c r="E104" s="4" t="s">
        <v>6</v>
      </c>
      <c r="F104" s="4" t="s">
        <v>46</v>
      </c>
      <c r="G104" s="4" t="s">
        <v>16</v>
      </c>
      <c r="H104" s="4" t="s">
        <v>17</v>
      </c>
      <c r="I104" s="4" t="s">
        <v>18</v>
      </c>
      <c r="J104" s="4" t="s">
        <v>10</v>
      </c>
      <c r="K104" s="4" t="s">
        <v>19</v>
      </c>
      <c r="L104" s="4" t="s">
        <v>11</v>
      </c>
      <c r="M104" s="4" t="s">
        <v>37</v>
      </c>
      <c r="N104" s="4" t="s">
        <v>40</v>
      </c>
      <c r="O104" s="4" t="s">
        <v>21</v>
      </c>
      <c r="P104" s="4" t="s">
        <v>26</v>
      </c>
    </row>
    <row r="105" spans="1:16" ht="15" thickBot="1" x14ac:dyDescent="0.4">
      <c r="A105" s="5">
        <v>11</v>
      </c>
      <c r="B105" s="42">
        <v>783343303</v>
      </c>
      <c r="C105" s="5"/>
      <c r="D105" s="5">
        <f>SUM(H107:H108)</f>
        <v>160</v>
      </c>
      <c r="E105" s="9">
        <v>150</v>
      </c>
      <c r="F105" s="9">
        <f>SUM(F107:F110)</f>
        <v>1995520</v>
      </c>
      <c r="G105" s="5">
        <f>F105/D105</f>
        <v>12472</v>
      </c>
      <c r="H105" s="5">
        <v>1000</v>
      </c>
      <c r="I105" s="5">
        <v>380</v>
      </c>
      <c r="J105" s="5">
        <f>G105+H105+I105</f>
        <v>13852</v>
      </c>
      <c r="K105" s="5">
        <f>J105*D105</f>
        <v>2216320</v>
      </c>
      <c r="L105" s="5">
        <f>L$4/E$4*D105</f>
        <v>1894240</v>
      </c>
      <c r="M105" s="5">
        <f>(J$4*D105)-K105</f>
        <v>-322080</v>
      </c>
      <c r="N105" s="5">
        <f>M105/D105</f>
        <v>-2013</v>
      </c>
      <c r="O105" s="5">
        <f>F107/2</f>
        <v>997520</v>
      </c>
      <c r="P105" s="21">
        <f>F105+O105</f>
        <v>2993040</v>
      </c>
    </row>
    <row r="106" spans="1:16" x14ac:dyDescent="0.35">
      <c r="E106" s="75" t="s">
        <v>22</v>
      </c>
      <c r="F106" s="76"/>
      <c r="G106" s="3" t="s">
        <v>54</v>
      </c>
      <c r="H106" s="3" t="s">
        <v>55</v>
      </c>
      <c r="I106" s="71" t="s">
        <v>56</v>
      </c>
      <c r="J106" s="71" t="s">
        <v>57</v>
      </c>
      <c r="K106" s="71" t="s">
        <v>58</v>
      </c>
      <c r="L106" s="37"/>
      <c r="M106" s="37"/>
      <c r="N106" s="38"/>
      <c r="O106" s="37"/>
    </row>
    <row r="107" spans="1:16" x14ac:dyDescent="0.35">
      <c r="E107" s="10" t="s">
        <v>23</v>
      </c>
      <c r="F107" s="11">
        <f>K110</f>
        <v>1995040</v>
      </c>
      <c r="G107" s="3" t="s">
        <v>59</v>
      </c>
      <c r="H107" s="43">
        <v>160</v>
      </c>
      <c r="I107" s="71">
        <v>12469</v>
      </c>
      <c r="J107" s="71">
        <v>1</v>
      </c>
      <c r="K107" s="71">
        <f>H107*I107*J107</f>
        <v>1995040</v>
      </c>
      <c r="L107" s="39"/>
      <c r="M107" s="40"/>
      <c r="N107" s="39"/>
      <c r="O107" s="39"/>
    </row>
    <row r="108" spans="1:16" x14ac:dyDescent="0.35">
      <c r="E108" s="10" t="s">
        <v>49</v>
      </c>
      <c r="F108" s="11">
        <f>D105*2</f>
        <v>320</v>
      </c>
      <c r="H108" s="43"/>
      <c r="I108" s="71"/>
      <c r="J108" s="71"/>
      <c r="K108" s="71"/>
      <c r="L108" s="39"/>
      <c r="M108" s="40"/>
      <c r="N108" s="39"/>
      <c r="O108" s="39"/>
    </row>
    <row r="109" spans="1:16" ht="29" x14ac:dyDescent="0.35">
      <c r="E109" s="10" t="s">
        <v>50</v>
      </c>
      <c r="F109" s="11">
        <f>D105*1</f>
        <v>160</v>
      </c>
      <c r="H109" s="43"/>
      <c r="I109" s="71"/>
      <c r="J109" s="71"/>
      <c r="K109" s="71"/>
      <c r="L109" s="39"/>
      <c r="M109" s="39"/>
      <c r="N109" s="40"/>
      <c r="O109" s="41"/>
    </row>
    <row r="110" spans="1:16" ht="15" thickBot="1" x14ac:dyDescent="0.4">
      <c r="E110" s="12" t="s">
        <v>24</v>
      </c>
      <c r="F110" s="13">
        <v>0</v>
      </c>
      <c r="I110" s="71"/>
      <c r="J110" s="71"/>
      <c r="K110" s="71">
        <f>SUM(K107:K109)</f>
        <v>1995040</v>
      </c>
      <c r="L110" s="39"/>
      <c r="M110" s="40"/>
      <c r="N110" s="40"/>
      <c r="O110" s="39"/>
    </row>
    <row r="112" spans="1:16" ht="72.5" x14ac:dyDescent="0.35">
      <c r="A112" s="8" t="s">
        <v>44</v>
      </c>
      <c r="B112" s="4" t="s">
        <v>13</v>
      </c>
      <c r="C112" s="4" t="s">
        <v>20</v>
      </c>
      <c r="D112" s="4" t="s">
        <v>14</v>
      </c>
      <c r="E112" s="4" t="s">
        <v>6</v>
      </c>
      <c r="F112" s="4" t="s">
        <v>46</v>
      </c>
      <c r="G112" s="4" t="s">
        <v>16</v>
      </c>
      <c r="H112" s="4" t="s">
        <v>17</v>
      </c>
      <c r="I112" s="4" t="s">
        <v>18</v>
      </c>
      <c r="J112" s="4" t="s">
        <v>10</v>
      </c>
      <c r="K112" s="4" t="s">
        <v>19</v>
      </c>
      <c r="L112" s="4" t="s">
        <v>11</v>
      </c>
      <c r="M112" s="4" t="s">
        <v>37</v>
      </c>
      <c r="N112" s="4" t="s">
        <v>40</v>
      </c>
      <c r="O112" s="4" t="s">
        <v>21</v>
      </c>
      <c r="P112" s="4" t="s">
        <v>26</v>
      </c>
    </row>
    <row r="113" spans="1:16" ht="15" thickBot="1" x14ac:dyDescent="0.4">
      <c r="A113" s="5">
        <v>12</v>
      </c>
      <c r="B113" s="42">
        <v>783343312</v>
      </c>
      <c r="C113" s="5"/>
      <c r="D113" s="5">
        <f>SUM(H115:H116)</f>
        <v>160</v>
      </c>
      <c r="E113" s="9">
        <v>150</v>
      </c>
      <c r="F113" s="9">
        <f>SUM(F115:F118)</f>
        <v>1995520</v>
      </c>
      <c r="G113" s="5">
        <f>F113/D113</f>
        <v>12472</v>
      </c>
      <c r="H113" s="5">
        <v>1000</v>
      </c>
      <c r="I113" s="5">
        <v>380</v>
      </c>
      <c r="J113" s="5">
        <f>G113+H113+I113</f>
        <v>13852</v>
      </c>
      <c r="K113" s="5">
        <f>J113*D113</f>
        <v>2216320</v>
      </c>
      <c r="L113" s="5">
        <f>L$4/E$4*D113</f>
        <v>1894240</v>
      </c>
      <c r="M113" s="5">
        <f>(J$4*D113)-K113</f>
        <v>-322080</v>
      </c>
      <c r="N113" s="5">
        <f>M113/D113</f>
        <v>-2013</v>
      </c>
      <c r="O113" s="5">
        <f>F115/2</f>
        <v>997520</v>
      </c>
      <c r="P113" s="21">
        <f>F113+O113</f>
        <v>2993040</v>
      </c>
    </row>
    <row r="114" spans="1:16" x14ac:dyDescent="0.35">
      <c r="E114" s="75" t="s">
        <v>22</v>
      </c>
      <c r="F114" s="76"/>
      <c r="G114" s="3" t="s">
        <v>54</v>
      </c>
      <c r="H114" s="3" t="s">
        <v>55</v>
      </c>
      <c r="I114" s="71" t="s">
        <v>56</v>
      </c>
      <c r="J114" s="71" t="s">
        <v>57</v>
      </c>
      <c r="K114" s="71" t="s">
        <v>58</v>
      </c>
      <c r="L114" s="37"/>
      <c r="M114" s="37"/>
      <c r="N114" s="38"/>
      <c r="O114" s="37"/>
    </row>
    <row r="115" spans="1:16" x14ac:dyDescent="0.35">
      <c r="E115" s="10" t="s">
        <v>23</v>
      </c>
      <c r="F115" s="11">
        <f>K118</f>
        <v>1995040</v>
      </c>
      <c r="G115" s="3" t="s">
        <v>59</v>
      </c>
      <c r="H115" s="43">
        <v>160</v>
      </c>
      <c r="I115" s="71">
        <v>12469</v>
      </c>
      <c r="J115" s="71">
        <v>1</v>
      </c>
      <c r="K115" s="71">
        <f>H115*I115*J115</f>
        <v>1995040</v>
      </c>
      <c r="L115" s="39"/>
      <c r="M115" s="40"/>
      <c r="N115" s="39"/>
      <c r="O115" s="39"/>
    </row>
    <row r="116" spans="1:16" x14ac:dyDescent="0.35">
      <c r="E116" s="10" t="s">
        <v>49</v>
      </c>
      <c r="F116" s="11">
        <f>D113*2</f>
        <v>320</v>
      </c>
      <c r="H116" s="43"/>
      <c r="I116" s="71"/>
      <c r="J116" s="71"/>
      <c r="K116" s="71"/>
      <c r="L116" s="39"/>
      <c r="M116" s="40"/>
      <c r="N116" s="39"/>
      <c r="O116" s="39"/>
    </row>
    <row r="117" spans="1:16" ht="29" x14ac:dyDescent="0.35">
      <c r="E117" s="10" t="s">
        <v>50</v>
      </c>
      <c r="F117" s="11">
        <f>D113*1</f>
        <v>160</v>
      </c>
      <c r="H117" s="43"/>
      <c r="I117" s="71"/>
      <c r="J117" s="71"/>
      <c r="K117" s="71"/>
      <c r="L117" s="39"/>
      <c r="M117" s="39"/>
      <c r="N117" s="40"/>
      <c r="O117" s="41"/>
    </row>
    <row r="118" spans="1:16" ht="15" thickBot="1" x14ac:dyDescent="0.4">
      <c r="E118" s="12" t="s">
        <v>24</v>
      </c>
      <c r="F118" s="13">
        <v>0</v>
      </c>
      <c r="I118" s="71"/>
      <c r="J118" s="71"/>
      <c r="K118" s="71">
        <f>SUM(K115:K117)</f>
        <v>1995040</v>
      </c>
      <c r="L118" s="39"/>
      <c r="M118" s="40"/>
      <c r="N118" s="40"/>
      <c r="O118" s="39"/>
    </row>
    <row r="120" spans="1:16" ht="72.5" x14ac:dyDescent="0.35">
      <c r="A120" s="8" t="s">
        <v>44</v>
      </c>
      <c r="B120" s="4" t="s">
        <v>13</v>
      </c>
      <c r="C120" s="4" t="s">
        <v>20</v>
      </c>
      <c r="D120" s="4" t="s">
        <v>14</v>
      </c>
      <c r="E120" s="4" t="s">
        <v>6</v>
      </c>
      <c r="F120" s="4" t="s">
        <v>46</v>
      </c>
      <c r="G120" s="4" t="s">
        <v>16</v>
      </c>
      <c r="H120" s="4" t="s">
        <v>17</v>
      </c>
      <c r="I120" s="4" t="s">
        <v>18</v>
      </c>
      <c r="J120" s="4" t="s">
        <v>10</v>
      </c>
      <c r="K120" s="4" t="s">
        <v>19</v>
      </c>
      <c r="L120" s="4" t="s">
        <v>11</v>
      </c>
      <c r="M120" s="4" t="s">
        <v>37</v>
      </c>
      <c r="N120" s="4" t="s">
        <v>40</v>
      </c>
      <c r="O120" s="4" t="s">
        <v>21</v>
      </c>
      <c r="P120" s="4" t="s">
        <v>26</v>
      </c>
    </row>
    <row r="121" spans="1:16" ht="15" thickBot="1" x14ac:dyDescent="0.4">
      <c r="A121" s="5">
        <v>13</v>
      </c>
      <c r="B121" s="42">
        <v>783343322</v>
      </c>
      <c r="C121" s="5"/>
      <c r="D121" s="5">
        <f>SUM(H123:H124)</f>
        <v>120</v>
      </c>
      <c r="E121" s="9">
        <v>110</v>
      </c>
      <c r="F121" s="9">
        <f>SUM(F123:F126)</f>
        <v>1496640</v>
      </c>
      <c r="G121" s="5">
        <f>F121/D121</f>
        <v>12472</v>
      </c>
      <c r="H121" s="5">
        <v>1000</v>
      </c>
      <c r="I121" s="5">
        <v>380</v>
      </c>
      <c r="J121" s="5">
        <f>G121+H121+I121</f>
        <v>13852</v>
      </c>
      <c r="K121" s="5">
        <f>J121*D121</f>
        <v>1662240</v>
      </c>
      <c r="L121" s="5">
        <f>L$4/E$4*D121</f>
        <v>1420680</v>
      </c>
      <c r="M121" s="5">
        <f>(J$4*D121)-K121</f>
        <v>-241560</v>
      </c>
      <c r="N121" s="5">
        <f>M121/D121</f>
        <v>-2013</v>
      </c>
      <c r="O121" s="5">
        <f>F123/2</f>
        <v>748140</v>
      </c>
      <c r="P121" s="21">
        <f>F121+O121</f>
        <v>2244780</v>
      </c>
    </row>
    <row r="122" spans="1:16" x14ac:dyDescent="0.35">
      <c r="E122" s="75" t="s">
        <v>22</v>
      </c>
      <c r="F122" s="76"/>
      <c r="G122" s="3" t="s">
        <v>54</v>
      </c>
      <c r="H122" s="3" t="s">
        <v>55</v>
      </c>
      <c r="I122" s="71" t="s">
        <v>56</v>
      </c>
      <c r="J122" s="71" t="s">
        <v>57</v>
      </c>
      <c r="K122" s="71" t="s">
        <v>58</v>
      </c>
      <c r="L122" s="37"/>
      <c r="M122" s="37"/>
      <c r="N122" s="38"/>
      <c r="O122" s="37"/>
    </row>
    <row r="123" spans="1:16" x14ac:dyDescent="0.35">
      <c r="E123" s="10" t="s">
        <v>23</v>
      </c>
      <c r="F123" s="11">
        <f>K126</f>
        <v>1496280</v>
      </c>
      <c r="G123" s="3" t="s">
        <v>59</v>
      </c>
      <c r="H123" s="43">
        <v>120</v>
      </c>
      <c r="I123" s="71">
        <v>12469</v>
      </c>
      <c r="J123" s="71">
        <v>1</v>
      </c>
      <c r="K123" s="71">
        <f>H123*I123*J123</f>
        <v>1496280</v>
      </c>
      <c r="L123" s="39"/>
      <c r="M123" s="40"/>
      <c r="N123" s="39"/>
      <c r="O123" s="39"/>
    </row>
    <row r="124" spans="1:16" x14ac:dyDescent="0.35">
      <c r="E124" s="10" t="s">
        <v>49</v>
      </c>
      <c r="F124" s="11">
        <f>D121*2</f>
        <v>240</v>
      </c>
      <c r="H124" s="43"/>
      <c r="I124" s="71"/>
      <c r="J124" s="71"/>
      <c r="K124" s="71"/>
      <c r="L124" s="39"/>
      <c r="M124" s="40"/>
      <c r="N124" s="39"/>
      <c r="O124" s="39"/>
    </row>
    <row r="125" spans="1:16" ht="29" x14ac:dyDescent="0.35">
      <c r="E125" s="10" t="s">
        <v>50</v>
      </c>
      <c r="F125" s="11">
        <f>D121*1</f>
        <v>120</v>
      </c>
      <c r="H125" s="43"/>
      <c r="I125" s="71"/>
      <c r="J125" s="71"/>
      <c r="K125" s="71"/>
      <c r="L125" s="39"/>
      <c r="M125" s="39"/>
      <c r="N125" s="40"/>
      <c r="O125" s="41"/>
    </row>
    <row r="126" spans="1:16" ht="15" thickBot="1" x14ac:dyDescent="0.4">
      <c r="E126" s="12" t="s">
        <v>24</v>
      </c>
      <c r="F126" s="13">
        <v>0</v>
      </c>
      <c r="I126" s="71"/>
      <c r="J126" s="71"/>
      <c r="K126" s="71">
        <f>SUM(K123:K125)</f>
        <v>1496280</v>
      </c>
      <c r="L126" s="39"/>
      <c r="M126" s="40"/>
      <c r="N126" s="40"/>
      <c r="O126" s="39"/>
    </row>
    <row r="128" spans="1:16" ht="72.5" x14ac:dyDescent="0.35">
      <c r="A128" s="8" t="s">
        <v>44</v>
      </c>
      <c r="B128" s="4" t="s">
        <v>13</v>
      </c>
      <c r="C128" s="4" t="s">
        <v>20</v>
      </c>
      <c r="D128" s="4" t="s">
        <v>14</v>
      </c>
      <c r="E128" s="4" t="s">
        <v>6</v>
      </c>
      <c r="F128" s="4" t="s">
        <v>46</v>
      </c>
      <c r="G128" s="4" t="s">
        <v>16</v>
      </c>
      <c r="H128" s="4" t="s">
        <v>17</v>
      </c>
      <c r="I128" s="4" t="s">
        <v>18</v>
      </c>
      <c r="J128" s="4" t="s">
        <v>10</v>
      </c>
      <c r="K128" s="4" t="s">
        <v>19</v>
      </c>
      <c r="L128" s="4" t="s">
        <v>11</v>
      </c>
      <c r="M128" s="4" t="s">
        <v>37</v>
      </c>
      <c r="N128" s="4" t="s">
        <v>40</v>
      </c>
      <c r="O128" s="4" t="s">
        <v>21</v>
      </c>
      <c r="P128" s="4" t="s">
        <v>26</v>
      </c>
    </row>
    <row r="129" spans="1:16" ht="15" thickBot="1" x14ac:dyDescent="0.4">
      <c r="A129" s="5">
        <v>14</v>
      </c>
      <c r="B129" s="42">
        <v>783343323</v>
      </c>
      <c r="C129" s="5"/>
      <c r="D129" s="5">
        <f>SUM(H131:H132)</f>
        <v>165</v>
      </c>
      <c r="E129" s="9">
        <v>155</v>
      </c>
      <c r="F129" s="9">
        <f>SUM(F131:F134)</f>
        <v>2057880</v>
      </c>
      <c r="G129" s="5">
        <f>F129/D129</f>
        <v>12472</v>
      </c>
      <c r="H129" s="5">
        <v>1000</v>
      </c>
      <c r="I129" s="5">
        <v>380</v>
      </c>
      <c r="J129" s="5">
        <f>G129+H129+I129</f>
        <v>13852</v>
      </c>
      <c r="K129" s="5">
        <f>J129*D129</f>
        <v>2285580</v>
      </c>
      <c r="L129" s="5">
        <f>L$4/E$4*D129</f>
        <v>1953435</v>
      </c>
      <c r="M129" s="5">
        <f>(J$4*D129)-K129</f>
        <v>-332145</v>
      </c>
      <c r="N129" s="5">
        <f>M129/D129</f>
        <v>-2013</v>
      </c>
      <c r="O129" s="5">
        <f>F131/2</f>
        <v>1028692.5</v>
      </c>
      <c r="P129" s="21">
        <f>F129+O129</f>
        <v>3086572.5</v>
      </c>
    </row>
    <row r="130" spans="1:16" x14ac:dyDescent="0.35">
      <c r="E130" s="75" t="s">
        <v>22</v>
      </c>
      <c r="F130" s="76"/>
      <c r="G130" s="3" t="s">
        <v>54</v>
      </c>
      <c r="H130" s="3" t="s">
        <v>55</v>
      </c>
      <c r="I130" s="71" t="s">
        <v>56</v>
      </c>
      <c r="J130" s="71" t="s">
        <v>57</v>
      </c>
      <c r="K130" s="71" t="s">
        <v>58</v>
      </c>
      <c r="L130" s="37"/>
      <c r="M130" s="37"/>
      <c r="N130" s="38"/>
      <c r="O130" s="37"/>
    </row>
    <row r="131" spans="1:16" x14ac:dyDescent="0.35">
      <c r="E131" s="10" t="s">
        <v>23</v>
      </c>
      <c r="F131" s="11">
        <f>K134</f>
        <v>2057385</v>
      </c>
      <c r="G131" s="3" t="s">
        <v>59</v>
      </c>
      <c r="H131" s="43">
        <v>165</v>
      </c>
      <c r="I131" s="71">
        <v>12469</v>
      </c>
      <c r="J131" s="71">
        <v>1</v>
      </c>
      <c r="K131" s="71">
        <f>H131*I131*J131</f>
        <v>2057385</v>
      </c>
      <c r="L131" s="39"/>
      <c r="M131" s="40"/>
      <c r="N131" s="39"/>
      <c r="O131" s="39"/>
    </row>
    <row r="132" spans="1:16" x14ac:dyDescent="0.35">
      <c r="E132" s="10" t="s">
        <v>49</v>
      </c>
      <c r="F132" s="11">
        <f>D129*2</f>
        <v>330</v>
      </c>
      <c r="H132" s="43"/>
      <c r="I132" s="71"/>
      <c r="J132" s="71"/>
      <c r="K132" s="71"/>
      <c r="L132" s="39"/>
      <c r="M132" s="40"/>
      <c r="N132" s="39"/>
      <c r="O132" s="39"/>
    </row>
    <row r="133" spans="1:16" ht="29" x14ac:dyDescent="0.35">
      <c r="E133" s="10" t="s">
        <v>50</v>
      </c>
      <c r="F133" s="11">
        <f>D129*1</f>
        <v>165</v>
      </c>
      <c r="H133" s="43"/>
      <c r="I133" s="71"/>
      <c r="J133" s="71"/>
      <c r="K133" s="71"/>
      <c r="L133" s="39"/>
      <c r="M133" s="39"/>
      <c r="N133" s="40"/>
      <c r="O133" s="41"/>
    </row>
    <row r="134" spans="1:16" ht="15" thickBot="1" x14ac:dyDescent="0.4">
      <c r="E134" s="12" t="s">
        <v>24</v>
      </c>
      <c r="F134" s="13">
        <v>0</v>
      </c>
      <c r="I134" s="71"/>
      <c r="J134" s="71"/>
      <c r="K134" s="71">
        <f>SUM(K131:K133)</f>
        <v>2057385</v>
      </c>
      <c r="L134" s="39"/>
      <c r="M134" s="40"/>
      <c r="N134" s="40"/>
      <c r="O134" s="39"/>
    </row>
    <row r="136" spans="1:16" ht="72.5" x14ac:dyDescent="0.35">
      <c r="A136" s="8" t="s">
        <v>44</v>
      </c>
      <c r="B136" s="4" t="s">
        <v>13</v>
      </c>
      <c r="C136" s="4" t="s">
        <v>20</v>
      </c>
      <c r="D136" s="4" t="s">
        <v>14</v>
      </c>
      <c r="E136" s="4" t="s">
        <v>6</v>
      </c>
      <c r="F136" s="4" t="s">
        <v>46</v>
      </c>
      <c r="G136" s="4" t="s">
        <v>16</v>
      </c>
      <c r="H136" s="4" t="s">
        <v>17</v>
      </c>
      <c r="I136" s="4" t="s">
        <v>18</v>
      </c>
      <c r="J136" s="4" t="s">
        <v>10</v>
      </c>
      <c r="K136" s="4" t="s">
        <v>19</v>
      </c>
      <c r="L136" s="4" t="s">
        <v>11</v>
      </c>
      <c r="M136" s="4" t="s">
        <v>37</v>
      </c>
      <c r="N136" s="4" t="s">
        <v>40</v>
      </c>
      <c r="O136" s="4" t="s">
        <v>21</v>
      </c>
      <c r="P136" s="4" t="s">
        <v>26</v>
      </c>
    </row>
    <row r="137" spans="1:16" ht="15" thickBot="1" x14ac:dyDescent="0.4">
      <c r="A137" s="5">
        <v>15</v>
      </c>
      <c r="B137" s="42">
        <v>783343280</v>
      </c>
      <c r="C137" s="5"/>
      <c r="D137" s="5">
        <f>SUM(H139:H140)</f>
        <v>140</v>
      </c>
      <c r="E137" s="9">
        <v>155</v>
      </c>
      <c r="F137" s="9">
        <f>SUM(F139:F142)</f>
        <v>1426600</v>
      </c>
      <c r="G137" s="5">
        <f>F137/D137</f>
        <v>10190</v>
      </c>
      <c r="H137" s="5">
        <v>1000</v>
      </c>
      <c r="I137" s="5">
        <v>380</v>
      </c>
      <c r="J137" s="5">
        <f>G137+H137+I137</f>
        <v>11570</v>
      </c>
      <c r="K137" s="5">
        <f>J137*D137</f>
        <v>1619800</v>
      </c>
      <c r="L137" s="5">
        <f>L$4/E$4*D137</f>
        <v>1657460</v>
      </c>
      <c r="M137" s="5">
        <f>(J$4*D137)-K137</f>
        <v>37660</v>
      </c>
      <c r="N137" s="5">
        <f>M137/D137</f>
        <v>269</v>
      </c>
      <c r="O137" s="5">
        <f>F139/2</f>
        <v>713090</v>
      </c>
      <c r="P137" s="21">
        <f>F137+O137</f>
        <v>2139690</v>
      </c>
    </row>
    <row r="138" spans="1:16" x14ac:dyDescent="0.35">
      <c r="E138" s="75" t="s">
        <v>22</v>
      </c>
      <c r="F138" s="76"/>
      <c r="G138" s="3" t="s">
        <v>54</v>
      </c>
      <c r="H138" s="3" t="s">
        <v>55</v>
      </c>
      <c r="I138" s="71" t="s">
        <v>56</v>
      </c>
      <c r="J138" s="71" t="s">
        <v>57</v>
      </c>
      <c r="K138" s="71" t="s">
        <v>58</v>
      </c>
      <c r="L138" s="37"/>
      <c r="M138" s="37"/>
      <c r="N138" s="38"/>
      <c r="O138" s="37"/>
    </row>
    <row r="139" spans="1:16" x14ac:dyDescent="0.35">
      <c r="E139" s="10" t="s">
        <v>23</v>
      </c>
      <c r="F139" s="11">
        <f>K142</f>
        <v>1426180</v>
      </c>
      <c r="G139" s="3" t="s">
        <v>59</v>
      </c>
      <c r="H139" s="43">
        <v>140</v>
      </c>
      <c r="I139" s="71">
        <v>10187</v>
      </c>
      <c r="J139" s="71">
        <v>1</v>
      </c>
      <c r="K139" s="71">
        <f>H139*I139*J139</f>
        <v>1426180</v>
      </c>
      <c r="L139" s="39"/>
      <c r="M139" s="40"/>
      <c r="N139" s="39"/>
      <c r="O139" s="39"/>
    </row>
    <row r="140" spans="1:16" x14ac:dyDescent="0.35">
      <c r="E140" s="10" t="s">
        <v>49</v>
      </c>
      <c r="F140" s="11">
        <f>D137*2</f>
        <v>280</v>
      </c>
      <c r="H140" s="43"/>
      <c r="I140" s="71"/>
      <c r="J140" s="71"/>
      <c r="K140" s="71"/>
      <c r="L140" s="39"/>
      <c r="M140" s="40"/>
      <c r="N140" s="39"/>
      <c r="O140" s="39"/>
    </row>
    <row r="141" spans="1:16" ht="29" x14ac:dyDescent="0.35">
      <c r="E141" s="10" t="s">
        <v>50</v>
      </c>
      <c r="F141" s="11">
        <f>D137*1</f>
        <v>140</v>
      </c>
      <c r="H141" s="43"/>
      <c r="I141" s="71"/>
      <c r="J141" s="71"/>
      <c r="K141" s="71"/>
      <c r="L141" s="39"/>
      <c r="M141" s="39"/>
      <c r="N141" s="40"/>
      <c r="O141" s="41"/>
    </row>
    <row r="142" spans="1:16" ht="15" thickBot="1" x14ac:dyDescent="0.4">
      <c r="E142" s="12" t="s">
        <v>24</v>
      </c>
      <c r="F142" s="13">
        <v>0</v>
      </c>
      <c r="I142" s="71"/>
      <c r="J142" s="71"/>
      <c r="K142" s="71">
        <f>SUM(K139:K141)</f>
        <v>1426180</v>
      </c>
      <c r="L142" s="39"/>
      <c r="M142" s="40"/>
      <c r="N142" s="40"/>
      <c r="O142" s="39"/>
    </row>
    <row r="144" spans="1:16" ht="72.5" x14ac:dyDescent="0.35">
      <c r="A144" s="8" t="s">
        <v>44</v>
      </c>
      <c r="B144" s="4" t="s">
        <v>13</v>
      </c>
      <c r="C144" s="4" t="s">
        <v>20</v>
      </c>
      <c r="D144" s="4" t="s">
        <v>14</v>
      </c>
      <c r="E144" s="4" t="s">
        <v>6</v>
      </c>
      <c r="F144" s="4" t="s">
        <v>46</v>
      </c>
      <c r="G144" s="4" t="s">
        <v>16</v>
      </c>
      <c r="H144" s="4" t="s">
        <v>17</v>
      </c>
      <c r="I144" s="4" t="s">
        <v>18</v>
      </c>
      <c r="J144" s="4" t="s">
        <v>10</v>
      </c>
      <c r="K144" s="4" t="s">
        <v>19</v>
      </c>
      <c r="L144" s="4" t="s">
        <v>11</v>
      </c>
      <c r="M144" s="4" t="s">
        <v>37</v>
      </c>
      <c r="N144" s="4" t="s">
        <v>40</v>
      </c>
      <c r="O144" s="4" t="s">
        <v>21</v>
      </c>
      <c r="P144" s="4" t="s">
        <v>26</v>
      </c>
    </row>
    <row r="145" spans="1:16" ht="15" thickBot="1" x14ac:dyDescent="0.4">
      <c r="A145" s="5">
        <v>16</v>
      </c>
      <c r="B145" s="42">
        <v>783355819</v>
      </c>
      <c r="C145" s="5"/>
      <c r="D145" s="5">
        <f>SUM(H147:H148)</f>
        <v>120</v>
      </c>
      <c r="E145" s="9">
        <v>110</v>
      </c>
      <c r="F145" s="9">
        <f>SUM(F147:F150)</f>
        <v>1496640</v>
      </c>
      <c r="G145" s="5">
        <f>F145/D145</f>
        <v>12472</v>
      </c>
      <c r="H145" s="5">
        <v>1000</v>
      </c>
      <c r="I145" s="5">
        <v>380</v>
      </c>
      <c r="J145" s="5">
        <f>G145+H145+I145</f>
        <v>13852</v>
      </c>
      <c r="K145" s="5">
        <f>J145*D145</f>
        <v>1662240</v>
      </c>
      <c r="L145" s="5">
        <f>L$4/E$4*D145</f>
        <v>1420680</v>
      </c>
      <c r="M145" s="5">
        <f>(J$4*D145)-K145</f>
        <v>-241560</v>
      </c>
      <c r="N145" s="5">
        <f>M145/D145</f>
        <v>-2013</v>
      </c>
      <c r="O145" s="5">
        <f>F147/2</f>
        <v>748140</v>
      </c>
      <c r="P145" s="21">
        <f>F145+O145</f>
        <v>2244780</v>
      </c>
    </row>
    <row r="146" spans="1:16" x14ac:dyDescent="0.35">
      <c r="E146" s="75" t="s">
        <v>22</v>
      </c>
      <c r="F146" s="76"/>
      <c r="G146" s="3" t="s">
        <v>54</v>
      </c>
      <c r="H146" s="3" t="s">
        <v>55</v>
      </c>
      <c r="I146" s="71" t="s">
        <v>56</v>
      </c>
      <c r="J146" s="71" t="s">
        <v>57</v>
      </c>
      <c r="K146" s="71" t="s">
        <v>58</v>
      </c>
      <c r="L146" s="37"/>
      <c r="M146" s="37"/>
      <c r="N146" s="38"/>
      <c r="O146" s="37"/>
    </row>
    <row r="147" spans="1:16" x14ac:dyDescent="0.35">
      <c r="E147" s="10" t="s">
        <v>23</v>
      </c>
      <c r="F147" s="11">
        <f>K150</f>
        <v>1496280</v>
      </c>
      <c r="G147" s="3" t="s">
        <v>59</v>
      </c>
      <c r="H147" s="43">
        <v>120</v>
      </c>
      <c r="I147" s="71">
        <v>12469</v>
      </c>
      <c r="J147" s="71">
        <v>1</v>
      </c>
      <c r="K147" s="71">
        <f>H147*I147*J147</f>
        <v>1496280</v>
      </c>
      <c r="L147" s="39"/>
      <c r="M147" s="40"/>
      <c r="N147" s="39"/>
      <c r="O147" s="39"/>
    </row>
    <row r="148" spans="1:16" x14ac:dyDescent="0.35">
      <c r="E148" s="10" t="s">
        <v>49</v>
      </c>
      <c r="F148" s="11">
        <f>D145*2</f>
        <v>240</v>
      </c>
      <c r="H148" s="43"/>
      <c r="I148" s="71"/>
      <c r="J148" s="71"/>
      <c r="K148" s="71"/>
      <c r="L148" s="39"/>
      <c r="M148" s="40"/>
      <c r="N148" s="39"/>
      <c r="O148" s="39"/>
    </row>
    <row r="149" spans="1:16" ht="29" x14ac:dyDescent="0.35">
      <c r="E149" s="10" t="s">
        <v>50</v>
      </c>
      <c r="F149" s="11">
        <f>D145*1</f>
        <v>120</v>
      </c>
      <c r="H149" s="43"/>
      <c r="I149" s="71"/>
      <c r="J149" s="71"/>
      <c r="K149" s="71"/>
      <c r="L149" s="39"/>
      <c r="M149" s="39"/>
      <c r="N149" s="40"/>
      <c r="O149" s="41"/>
    </row>
    <row r="150" spans="1:16" ht="15" thickBot="1" x14ac:dyDescent="0.4">
      <c r="E150" s="12" t="s">
        <v>24</v>
      </c>
      <c r="F150" s="13">
        <v>0</v>
      </c>
      <c r="I150" s="71"/>
      <c r="J150" s="71"/>
      <c r="K150" s="71">
        <f>SUM(K147:K149)</f>
        <v>1496280</v>
      </c>
      <c r="L150" s="39"/>
      <c r="M150" s="40"/>
      <c r="N150" s="40"/>
      <c r="O150" s="39"/>
    </row>
    <row r="152" spans="1:16" ht="72.5" x14ac:dyDescent="0.35">
      <c r="A152" s="8" t="s">
        <v>44</v>
      </c>
      <c r="B152" s="4" t="s">
        <v>13</v>
      </c>
      <c r="C152" s="4" t="s">
        <v>20</v>
      </c>
      <c r="D152" s="4" t="s">
        <v>14</v>
      </c>
      <c r="E152" s="4" t="s">
        <v>6</v>
      </c>
      <c r="F152" s="4" t="s">
        <v>46</v>
      </c>
      <c r="G152" s="4" t="s">
        <v>16</v>
      </c>
      <c r="H152" s="4" t="s">
        <v>17</v>
      </c>
      <c r="I152" s="4" t="s">
        <v>18</v>
      </c>
      <c r="J152" s="4" t="s">
        <v>10</v>
      </c>
      <c r="K152" s="4" t="s">
        <v>19</v>
      </c>
      <c r="L152" s="4" t="s">
        <v>11</v>
      </c>
      <c r="M152" s="4" t="s">
        <v>37</v>
      </c>
      <c r="N152" s="4" t="s">
        <v>40</v>
      </c>
      <c r="O152" s="4" t="s">
        <v>21</v>
      </c>
      <c r="P152" s="4" t="s">
        <v>26</v>
      </c>
    </row>
    <row r="153" spans="1:16" ht="15" thickBot="1" x14ac:dyDescent="0.4">
      <c r="A153" s="5">
        <v>17</v>
      </c>
      <c r="B153" s="42">
        <v>783355841</v>
      </c>
      <c r="C153" s="5"/>
      <c r="D153" s="5">
        <f>SUM(H155:H156)</f>
        <v>120</v>
      </c>
      <c r="E153" s="9">
        <v>110</v>
      </c>
      <c r="F153" s="9">
        <f>SUM(F155:F158)</f>
        <v>1496640</v>
      </c>
      <c r="G153" s="5">
        <f>F153/D153</f>
        <v>12472</v>
      </c>
      <c r="H153" s="5">
        <v>1000</v>
      </c>
      <c r="I153" s="5">
        <v>380</v>
      </c>
      <c r="J153" s="5">
        <f>G153+H153+I153</f>
        <v>13852</v>
      </c>
      <c r="K153" s="5">
        <f>J153*D153</f>
        <v>1662240</v>
      </c>
      <c r="L153" s="5">
        <f>L$4/E$4*D153</f>
        <v>1420680</v>
      </c>
      <c r="M153" s="5">
        <f>(J$4*D153)-K153</f>
        <v>-241560</v>
      </c>
      <c r="N153" s="5">
        <f>M153/D153</f>
        <v>-2013</v>
      </c>
      <c r="O153" s="5">
        <f>F155/2</f>
        <v>748140</v>
      </c>
      <c r="P153" s="21">
        <f>F153+O153</f>
        <v>2244780</v>
      </c>
    </row>
    <row r="154" spans="1:16" x14ac:dyDescent="0.35">
      <c r="E154" s="75" t="s">
        <v>22</v>
      </c>
      <c r="F154" s="76"/>
      <c r="G154" s="3" t="s">
        <v>54</v>
      </c>
      <c r="H154" s="3" t="s">
        <v>55</v>
      </c>
      <c r="I154" s="71" t="s">
        <v>56</v>
      </c>
      <c r="J154" s="71" t="s">
        <v>57</v>
      </c>
      <c r="K154" s="71" t="s">
        <v>58</v>
      </c>
      <c r="L154" s="37"/>
      <c r="M154" s="37"/>
      <c r="N154" s="38"/>
      <c r="O154" s="37"/>
    </row>
    <row r="155" spans="1:16" x14ac:dyDescent="0.35">
      <c r="E155" s="10" t="s">
        <v>23</v>
      </c>
      <c r="F155" s="11">
        <f>K158</f>
        <v>1496280</v>
      </c>
      <c r="G155" s="3" t="s">
        <v>59</v>
      </c>
      <c r="H155" s="43">
        <v>120</v>
      </c>
      <c r="I155" s="71">
        <v>12469</v>
      </c>
      <c r="J155" s="71">
        <v>1</v>
      </c>
      <c r="K155" s="71">
        <f>H155*I155*J155</f>
        <v>1496280</v>
      </c>
      <c r="L155" s="39"/>
      <c r="M155" s="40"/>
      <c r="N155" s="39"/>
      <c r="O155" s="39"/>
    </row>
    <row r="156" spans="1:16" x14ac:dyDescent="0.35">
      <c r="E156" s="10" t="s">
        <v>49</v>
      </c>
      <c r="F156" s="11">
        <f>D153*2</f>
        <v>240</v>
      </c>
      <c r="H156" s="43"/>
      <c r="I156" s="71"/>
      <c r="J156" s="71"/>
      <c r="K156" s="71"/>
      <c r="L156" s="39"/>
      <c r="M156" s="40"/>
      <c r="N156" s="39"/>
      <c r="O156" s="39"/>
    </row>
    <row r="157" spans="1:16" ht="29" x14ac:dyDescent="0.35">
      <c r="E157" s="10" t="s">
        <v>50</v>
      </c>
      <c r="F157" s="11">
        <f>D153*1</f>
        <v>120</v>
      </c>
      <c r="H157" s="43"/>
      <c r="I157" s="71"/>
      <c r="J157" s="71"/>
      <c r="K157" s="71"/>
      <c r="L157" s="39"/>
      <c r="M157" s="39"/>
      <c r="N157" s="40"/>
      <c r="O157" s="41"/>
    </row>
    <row r="158" spans="1:16" ht="15" thickBot="1" x14ac:dyDescent="0.4">
      <c r="E158" s="12" t="s">
        <v>24</v>
      </c>
      <c r="F158" s="13">
        <v>0</v>
      </c>
      <c r="I158" s="71"/>
      <c r="J158" s="71"/>
      <c r="K158" s="71">
        <f>SUM(K155:K157)</f>
        <v>1496280</v>
      </c>
      <c r="L158" s="39"/>
      <c r="M158" s="40"/>
      <c r="N158" s="40"/>
      <c r="O158" s="39"/>
    </row>
    <row r="160" spans="1:16" ht="72.5" x14ac:dyDescent="0.35">
      <c r="A160" s="8" t="s">
        <v>44</v>
      </c>
      <c r="B160" s="4" t="s">
        <v>13</v>
      </c>
      <c r="C160" s="4" t="s">
        <v>20</v>
      </c>
      <c r="D160" s="4" t="s">
        <v>14</v>
      </c>
      <c r="E160" s="4" t="s">
        <v>6</v>
      </c>
      <c r="F160" s="4" t="s">
        <v>46</v>
      </c>
      <c r="G160" s="4" t="s">
        <v>16</v>
      </c>
      <c r="H160" s="4" t="s">
        <v>17</v>
      </c>
      <c r="I160" s="4" t="s">
        <v>18</v>
      </c>
      <c r="J160" s="4" t="s">
        <v>10</v>
      </c>
      <c r="K160" s="4" t="s">
        <v>19</v>
      </c>
      <c r="L160" s="4" t="s">
        <v>11</v>
      </c>
      <c r="M160" s="4" t="s">
        <v>37</v>
      </c>
      <c r="N160" s="4" t="s">
        <v>40</v>
      </c>
      <c r="O160" s="4" t="s">
        <v>21</v>
      </c>
      <c r="P160" s="4" t="s">
        <v>26</v>
      </c>
    </row>
    <row r="161" spans="1:16" ht="15" thickBot="1" x14ac:dyDescent="0.4">
      <c r="A161" s="5">
        <v>18</v>
      </c>
      <c r="B161" s="42">
        <v>783343276</v>
      </c>
      <c r="C161" s="5"/>
      <c r="D161" s="5">
        <f>SUM(H163:H164)</f>
        <v>145</v>
      </c>
      <c r="E161" s="9">
        <v>140</v>
      </c>
      <c r="F161" s="9">
        <f>SUM(F163:F166)</f>
        <v>1808440</v>
      </c>
      <c r="G161" s="5">
        <f>F161/D161</f>
        <v>12472</v>
      </c>
      <c r="H161" s="5">
        <v>1000</v>
      </c>
      <c r="I161" s="5">
        <v>380</v>
      </c>
      <c r="J161" s="5">
        <f>G161+H161+I161</f>
        <v>13852</v>
      </c>
      <c r="K161" s="5">
        <f>J161*D161</f>
        <v>2008540</v>
      </c>
      <c r="L161" s="5">
        <f>L$4/E$4*D161</f>
        <v>1716655</v>
      </c>
      <c r="M161" s="5">
        <f>(J$4*D161)-K161</f>
        <v>-291885</v>
      </c>
      <c r="N161" s="5">
        <f>M161/D161</f>
        <v>-2013</v>
      </c>
      <c r="O161" s="5">
        <f>F163/2</f>
        <v>904002.5</v>
      </c>
      <c r="P161" s="21">
        <f>F161+O161</f>
        <v>2712442.5</v>
      </c>
    </row>
    <row r="162" spans="1:16" x14ac:dyDescent="0.35">
      <c r="E162" s="75" t="s">
        <v>22</v>
      </c>
      <c r="F162" s="76"/>
      <c r="G162" s="3" t="s">
        <v>54</v>
      </c>
      <c r="H162" s="3" t="s">
        <v>55</v>
      </c>
      <c r="I162" s="71" t="s">
        <v>56</v>
      </c>
      <c r="J162" s="71" t="s">
        <v>57</v>
      </c>
      <c r="K162" s="71" t="s">
        <v>58</v>
      </c>
      <c r="L162" s="37"/>
      <c r="M162" s="37"/>
      <c r="N162" s="38"/>
      <c r="O162" s="37"/>
    </row>
    <row r="163" spans="1:16" x14ac:dyDescent="0.35">
      <c r="E163" s="10" t="s">
        <v>23</v>
      </c>
      <c r="F163" s="11">
        <f>K166</f>
        <v>1808005</v>
      </c>
      <c r="G163" s="3" t="s">
        <v>59</v>
      </c>
      <c r="H163" s="43">
        <v>145</v>
      </c>
      <c r="I163" s="71">
        <v>12469</v>
      </c>
      <c r="J163" s="71">
        <v>1</v>
      </c>
      <c r="K163" s="71">
        <f>H163*I163*J163</f>
        <v>1808005</v>
      </c>
      <c r="L163" s="39"/>
      <c r="M163" s="40"/>
      <c r="N163" s="39"/>
      <c r="O163" s="39"/>
    </row>
    <row r="164" spans="1:16" x14ac:dyDescent="0.35">
      <c r="E164" s="10" t="s">
        <v>49</v>
      </c>
      <c r="F164" s="11">
        <f>D161*2</f>
        <v>290</v>
      </c>
      <c r="H164" s="43"/>
      <c r="I164" s="71"/>
      <c r="J164" s="71"/>
      <c r="K164" s="71"/>
      <c r="L164" s="39"/>
      <c r="M164" s="40"/>
      <c r="N164" s="39"/>
      <c r="O164" s="39"/>
    </row>
    <row r="165" spans="1:16" ht="29" x14ac:dyDescent="0.35">
      <c r="E165" s="10" t="s">
        <v>50</v>
      </c>
      <c r="F165" s="11">
        <f>D161*1</f>
        <v>145</v>
      </c>
      <c r="H165" s="43"/>
      <c r="I165" s="71"/>
      <c r="J165" s="71"/>
      <c r="K165" s="71"/>
      <c r="L165" s="39"/>
      <c r="M165" s="39"/>
      <c r="N165" s="40"/>
      <c r="O165" s="41"/>
    </row>
    <row r="166" spans="1:16" ht="15" thickBot="1" x14ac:dyDescent="0.4">
      <c r="E166" s="12" t="s">
        <v>24</v>
      </c>
      <c r="F166" s="13">
        <v>0</v>
      </c>
      <c r="I166" s="71"/>
      <c r="J166" s="71"/>
      <c r="K166" s="71">
        <f>SUM(K163:K165)</f>
        <v>1808005</v>
      </c>
      <c r="L166" s="39"/>
      <c r="M166" s="40"/>
      <c r="N166" s="40"/>
      <c r="O166" s="39"/>
    </row>
    <row r="168" spans="1:16" ht="72.5" x14ac:dyDescent="0.35">
      <c r="A168" s="8" t="s">
        <v>44</v>
      </c>
      <c r="B168" s="4" t="s">
        <v>13</v>
      </c>
      <c r="C168" s="4" t="s">
        <v>20</v>
      </c>
      <c r="D168" s="4" t="s">
        <v>14</v>
      </c>
      <c r="E168" s="4" t="s">
        <v>6</v>
      </c>
      <c r="F168" s="4" t="s">
        <v>25</v>
      </c>
      <c r="G168" s="4" t="s">
        <v>16</v>
      </c>
      <c r="H168" s="4" t="s">
        <v>17</v>
      </c>
      <c r="I168" s="4" t="s">
        <v>18</v>
      </c>
      <c r="J168" s="4" t="s">
        <v>10</v>
      </c>
      <c r="K168" s="4" t="s">
        <v>19</v>
      </c>
      <c r="L168" s="4" t="s">
        <v>11</v>
      </c>
      <c r="M168" s="4" t="s">
        <v>37</v>
      </c>
      <c r="N168" s="4" t="s">
        <v>30</v>
      </c>
      <c r="O168" s="4" t="s">
        <v>21</v>
      </c>
      <c r="P168" s="4" t="s">
        <v>47</v>
      </c>
    </row>
    <row r="169" spans="1:16" ht="15" thickBot="1" x14ac:dyDescent="0.4">
      <c r="A169" s="5"/>
      <c r="B169" s="42"/>
      <c r="C169" s="5"/>
      <c r="D169" s="5"/>
      <c r="E169" s="9"/>
      <c r="F169" s="9"/>
      <c r="G169" s="9"/>
      <c r="H169" s="9"/>
      <c r="I169" s="9"/>
      <c r="J169" s="9"/>
      <c r="K169" s="9"/>
      <c r="L169" s="5"/>
      <c r="M169" s="5"/>
      <c r="N169" s="5"/>
      <c r="O169" s="5"/>
      <c r="P169" s="15"/>
    </row>
    <row r="170" spans="1:16" x14ac:dyDescent="0.35">
      <c r="E170" s="75"/>
      <c r="F170" s="76"/>
      <c r="G170" s="52"/>
      <c r="H170" s="53"/>
      <c r="I170" s="53"/>
      <c r="J170" s="53"/>
      <c r="K170" s="54"/>
      <c r="L170" s="37"/>
      <c r="M170" s="37"/>
      <c r="N170" s="38"/>
      <c r="O170" s="37"/>
    </row>
    <row r="171" spans="1:16" x14ac:dyDescent="0.35">
      <c r="E171" s="10"/>
      <c r="F171" s="11"/>
      <c r="G171" s="55"/>
      <c r="H171" s="44"/>
      <c r="I171" s="45"/>
      <c r="J171" s="45"/>
      <c r="K171" s="56"/>
      <c r="L171" s="39"/>
      <c r="M171" s="40"/>
      <c r="N171" s="39"/>
      <c r="O171" s="39"/>
    </row>
    <row r="172" spans="1:16" x14ac:dyDescent="0.35">
      <c r="E172" s="10"/>
      <c r="F172" s="11"/>
      <c r="G172" s="57"/>
      <c r="H172" s="44"/>
      <c r="I172" s="45"/>
      <c r="J172" s="45"/>
      <c r="K172" s="56"/>
      <c r="L172" s="39"/>
      <c r="M172" s="40"/>
      <c r="N172" s="39"/>
      <c r="O172" s="39"/>
    </row>
    <row r="173" spans="1:16" x14ac:dyDescent="0.35">
      <c r="E173" s="10"/>
      <c r="F173" s="11"/>
      <c r="G173" s="58"/>
      <c r="H173" s="40"/>
      <c r="I173" s="39"/>
      <c r="J173" s="39"/>
      <c r="K173" s="56"/>
      <c r="L173" s="39"/>
      <c r="M173" s="39"/>
      <c r="N173" s="40"/>
      <c r="O173" s="41"/>
    </row>
    <row r="174" spans="1:16" ht="15" thickBot="1" x14ac:dyDescent="0.4">
      <c r="E174" s="12"/>
      <c r="F174" s="13"/>
      <c r="G174" s="59"/>
      <c r="H174" s="60"/>
      <c r="I174" s="61"/>
      <c r="J174" s="61"/>
      <c r="K174" s="62"/>
      <c r="L174" s="39"/>
      <c r="M174" s="40"/>
      <c r="N174" s="40"/>
      <c r="O174" s="39"/>
    </row>
  </sheetData>
  <mergeCells count="19">
    <mergeCell ref="E130:F130"/>
    <mergeCell ref="E138:F138"/>
    <mergeCell ref="E146:F146"/>
    <mergeCell ref="E170:F170"/>
    <mergeCell ref="E58:F58"/>
    <mergeCell ref="E90:F90"/>
    <mergeCell ref="E98:F98"/>
    <mergeCell ref="E106:F106"/>
    <mergeCell ref="E154:F154"/>
    <mergeCell ref="E162:F162"/>
    <mergeCell ref="E114:F114"/>
    <mergeCell ref="E122:F122"/>
    <mergeCell ref="E31:F31"/>
    <mergeCell ref="E22:F22"/>
    <mergeCell ref="E40:F40"/>
    <mergeCell ref="E49:F49"/>
    <mergeCell ref="E82:F82"/>
    <mergeCell ref="E66:F66"/>
    <mergeCell ref="E74:F74"/>
  </mergeCells>
  <conditionalFormatting sqref="B20:B26">
    <cfRule type="duplicateValues" dxfId="19" priority="18"/>
  </conditionalFormatting>
  <conditionalFormatting sqref="B27:B28 B2:B19 B36:B37 B45:B46 B54:B55 B63 B71 B79 B87 B95 B103 B111 B119 B127 B135 B143 B151 B159 B167:B1048576">
    <cfRule type="duplicateValues" dxfId="18" priority="22"/>
  </conditionalFormatting>
  <conditionalFormatting sqref="B29:B35">
    <cfRule type="duplicateValues" dxfId="17" priority="17"/>
  </conditionalFormatting>
  <conditionalFormatting sqref="B38:B44">
    <cfRule type="duplicateValues" dxfId="16" priority="16"/>
  </conditionalFormatting>
  <conditionalFormatting sqref="B47:B53">
    <cfRule type="duplicateValues" dxfId="15" priority="15"/>
  </conditionalFormatting>
  <conditionalFormatting sqref="B56:B62">
    <cfRule type="duplicateValues" dxfId="14" priority="14"/>
  </conditionalFormatting>
  <conditionalFormatting sqref="B64:B70">
    <cfRule type="duplicateValues" dxfId="13" priority="13"/>
  </conditionalFormatting>
  <conditionalFormatting sqref="B72:B78">
    <cfRule type="duplicateValues" dxfId="12" priority="12"/>
  </conditionalFormatting>
  <conditionalFormatting sqref="B80:B86">
    <cfRule type="duplicateValues" dxfId="11" priority="11"/>
  </conditionalFormatting>
  <conditionalFormatting sqref="B88:B94">
    <cfRule type="duplicateValues" dxfId="10" priority="10"/>
  </conditionalFormatting>
  <conditionalFormatting sqref="B96:B102">
    <cfRule type="duplicateValues" dxfId="9" priority="9"/>
  </conditionalFormatting>
  <conditionalFormatting sqref="B104:B110">
    <cfRule type="duplicateValues" dxfId="8" priority="8"/>
  </conditionalFormatting>
  <conditionalFormatting sqref="B112:B118">
    <cfRule type="duplicateValues" dxfId="7" priority="7"/>
  </conditionalFormatting>
  <conditionalFormatting sqref="B120:B126">
    <cfRule type="duplicateValues" dxfId="6" priority="6"/>
  </conditionalFormatting>
  <conditionalFormatting sqref="B128:B134">
    <cfRule type="duplicateValues" dxfId="5" priority="5"/>
  </conditionalFormatting>
  <conditionalFormatting sqref="B136:B142">
    <cfRule type="duplicateValues" dxfId="4" priority="4"/>
  </conditionalFormatting>
  <conditionalFormatting sqref="B144:B150">
    <cfRule type="duplicateValues" dxfId="3" priority="3"/>
  </conditionalFormatting>
  <conditionalFormatting sqref="B152:B158">
    <cfRule type="duplicateValues" dxfId="2" priority="2"/>
  </conditionalFormatting>
  <conditionalFormatting sqref="B160:B166">
    <cfRule type="duplicateValues" dxfId="1" priority="1"/>
  </conditionalFormatting>
  <conditionalFormatting sqref="D4">
    <cfRule type="duplicateValues" dxfId="0" priority="2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data-sheet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Santosh Pote</dc:creator>
  <cp:lastModifiedBy>Anupam Sunil Sharma</cp:lastModifiedBy>
  <cp:lastPrinted>2026-02-26T07:00:39Z</cp:lastPrinted>
  <dcterms:created xsi:type="dcterms:W3CDTF">2025-10-09T05:26:14Z</dcterms:created>
  <dcterms:modified xsi:type="dcterms:W3CDTF">2026-03-18T09:31:42Z</dcterms:modified>
</cp:coreProperties>
</file>