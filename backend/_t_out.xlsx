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582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-shee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??_ ;_ @_ "/>
    <numFmt numFmtId="166" formatCode="_ * #,##0.0_ ;_ * \-#,##0.0_ ;_ * &quot;-&quot;??_ ;_ @_ "/>
  </numFmts>
  <fonts count="9">
    <font>
      <name val="Aptos Narrow"/>
      <family val="2"/>
      <color theme="1"/>
      <sz val="11"/>
      <scheme val="minor"/>
    </font>
    <font>
      <name val="Aptos Narrow"/>
      <family val="2"/>
      <color rgb="FF000000"/>
      <sz val="10"/>
    </font>
    <font>
      <name val="Aptos Narrow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4" fillId="0" borderId="0"/>
    <xf numFmtId="43" fontId="4" fillId="0" borderId="0"/>
  </cellStyleXfs>
  <cellXfs count="107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5" fillId="2" borderId="0" applyAlignment="1" pivotButton="0" quotePrefix="0" xfId="1">
      <alignment horizontal="left" vertical="top" wrapText="1"/>
    </xf>
    <xf numFmtId="164" fontId="0" fillId="0" borderId="0" applyAlignment="1" pivotButton="0" quotePrefix="0" xfId="1">
      <alignment horizontal="left" vertical="top" wrapText="1"/>
    </xf>
    <xf numFmtId="164" fontId="5" fillId="0" borderId="1" applyAlignment="1" pivotButton="0" quotePrefix="0" xfId="1">
      <alignment horizontal="left" vertical="top" wrapText="1"/>
    </xf>
    <xf numFmtId="164" fontId="0" fillId="0" borderId="1" applyAlignment="1" pivotButton="0" quotePrefix="0" xfId="1">
      <alignment horizontal="left" vertical="top" wrapText="1"/>
    </xf>
    <xf numFmtId="164" fontId="1" fillId="0" borderId="0" applyAlignment="1" pivotButton="0" quotePrefix="0" xfId="1">
      <alignment horizontal="left" vertical="top" wrapText="1"/>
    </xf>
    <xf numFmtId="164" fontId="2" fillId="0" borderId="0" applyAlignment="1" pivotButton="0" quotePrefix="0" xfId="1">
      <alignment horizontal="left" vertical="top" wrapText="1"/>
    </xf>
    <xf numFmtId="164" fontId="5" fillId="3" borderId="1" applyAlignment="1" pivotButton="0" quotePrefix="0" xfId="1">
      <alignment horizontal="left" vertical="top" wrapText="1"/>
    </xf>
    <xf numFmtId="164" fontId="0" fillId="0" borderId="2" applyAlignment="1" pivotButton="0" quotePrefix="0" xfId="1">
      <alignment horizontal="left" vertical="top" wrapText="1"/>
    </xf>
    <xf numFmtId="164" fontId="0" fillId="0" borderId="5" applyAlignment="1" pivotButton="0" quotePrefix="0" xfId="1">
      <alignment horizontal="left" vertical="top" wrapText="1"/>
    </xf>
    <xf numFmtId="164" fontId="0" fillId="0" borderId="6" applyAlignment="1" pivotButton="0" quotePrefix="0" xfId="1">
      <alignment horizontal="left" vertical="top" wrapText="1"/>
    </xf>
    <xf numFmtId="164" fontId="0" fillId="0" borderId="7" applyAlignment="1" pivotButton="0" quotePrefix="0" xfId="1">
      <alignment horizontal="left" vertical="top" wrapText="1"/>
    </xf>
    <xf numFmtId="164" fontId="0" fillId="0" borderId="8" applyAlignment="1" pivotButton="0" quotePrefix="0" xfId="1">
      <alignment horizontal="left" vertical="top" wrapText="1"/>
    </xf>
    <xf numFmtId="164" fontId="0" fillId="0" borderId="0" applyAlignment="1" pivotButton="0" quotePrefix="0" xfId="1">
      <alignment horizontal="left" vertical="top" wrapText="1"/>
    </xf>
    <xf numFmtId="164" fontId="5" fillId="2" borderId="1" applyAlignment="1" pivotButton="0" quotePrefix="0" xfId="1">
      <alignment horizontal="left" vertical="top" wrapText="1"/>
    </xf>
    <xf numFmtId="0" fontId="0" fillId="0" borderId="0" applyAlignment="1" pivotButton="0" quotePrefix="0" xfId="0">
      <alignment vertical="top"/>
    </xf>
    <xf numFmtId="164" fontId="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5" fontId="0" fillId="0" borderId="1" applyAlignment="1" pivotButton="0" quotePrefix="0" xfId="1">
      <alignment horizontal="left" vertical="top" wrapText="1"/>
    </xf>
    <xf numFmtId="0" fontId="5" fillId="0" borderId="0" applyAlignment="1" pivotButton="0" quotePrefix="0" xfId="0">
      <alignment vertical="top"/>
    </xf>
    <xf numFmtId="164" fontId="0" fillId="3" borderId="1" applyAlignment="1" pivotButton="0" quotePrefix="0" xfId="1">
      <alignment horizontal="left" vertical="top" wrapText="1"/>
    </xf>
    <xf numFmtId="164" fontId="0" fillId="4" borderId="1" applyAlignment="1" pivotButton="0" quotePrefix="0" xfId="1">
      <alignment horizontal="left" vertical="top" wrapText="1"/>
    </xf>
    <xf numFmtId="164" fontId="0" fillId="4" borderId="0" applyAlignment="1" pivotButton="0" quotePrefix="0" xfId="1">
      <alignment horizontal="left" vertical="top" wrapText="1"/>
    </xf>
    <xf numFmtId="164" fontId="6" fillId="5" borderId="0" applyAlignment="1" pivotButton="0" quotePrefix="0" xfId="1">
      <alignment horizontal="left" vertical="top" wrapText="1"/>
    </xf>
    <xf numFmtId="164" fontId="6" fillId="5" borderId="1" applyAlignment="1" pivotButton="0" quotePrefix="0" xfId="1">
      <alignment horizontal="left" vertical="top" wrapText="1"/>
    </xf>
    <xf numFmtId="164" fontId="7" fillId="5" borderId="0" applyAlignment="1" pivotButton="0" quotePrefix="0" xfId="1">
      <alignment horizontal="left" vertical="top" wrapText="1"/>
    </xf>
    <xf numFmtId="164" fontId="7" fillId="5" borderId="1" applyAlignment="1" pivotButton="0" quotePrefix="0" xfId="1">
      <alignment horizontal="left" vertical="top" wrapText="1"/>
    </xf>
    <xf numFmtId="164" fontId="8" fillId="6" borderId="1" applyAlignment="1" pivotButton="0" quotePrefix="0" xfId="1">
      <alignment horizontal="left" vertical="top" wrapText="1"/>
    </xf>
    <xf numFmtId="164" fontId="0" fillId="6" borderId="0" applyAlignment="1" pivotButton="0" quotePrefix="0" xfId="1">
      <alignment horizontal="left" vertical="top" wrapText="1"/>
    </xf>
    <xf numFmtId="164" fontId="7" fillId="6" borderId="0" applyAlignment="1" pivotButton="0" quotePrefix="0" xfId="1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0" fillId="3" borderId="1" applyAlignment="1" pivotButton="0" quotePrefix="0" xfId="1">
      <alignment horizontal="left" vertical="top" wrapText="1"/>
    </xf>
    <xf numFmtId="17" fontId="0" fillId="3" borderId="1" applyAlignment="1" pivotButton="0" quotePrefix="0" xfId="1">
      <alignment horizontal="left" vertical="top" wrapText="1"/>
    </xf>
    <xf numFmtId="164" fontId="5" fillId="0" borderId="0" applyAlignment="1" pivotButton="0" quotePrefix="0" xfId="1">
      <alignment horizontal="left" vertical="top"/>
    </xf>
    <xf numFmtId="164" fontId="5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 vertical="top"/>
    </xf>
    <xf numFmtId="0" fontId="0" fillId="0" borderId="0" applyAlignment="1" pivotButton="0" quotePrefix="0" xfId="1">
      <alignment horizontal="left" vertical="top"/>
    </xf>
    <xf numFmtId="164" fontId="0" fillId="0" borderId="0" applyAlignment="1" pivotButton="0" quotePrefix="0" xfId="1">
      <alignment horizontal="left"/>
    </xf>
    <xf numFmtId="0" fontId="3" fillId="0" borderId="1" applyAlignment="1" pivotButton="0" quotePrefix="0" xfId="1">
      <alignment horizontal="right" vertical="top" wrapText="1"/>
    </xf>
    <xf numFmtId="0" fontId="0" fillId="0" borderId="0" applyAlignment="1" pivotButton="0" quotePrefix="0" xfId="1">
      <alignment horizontal="left" vertical="top" wrapText="1"/>
    </xf>
    <xf numFmtId="165" fontId="0" fillId="0" borderId="0" applyAlignment="1" pivotButton="0" quotePrefix="0" xfId="0">
      <alignment horizontal="left" vertical="top"/>
    </xf>
    <xf numFmtId="165" fontId="8" fillId="0" borderId="1" applyAlignment="1" pivotButton="0" quotePrefix="0" xfId="1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0" fontId="0" fillId="4" borderId="1" applyAlignment="1" pivotButton="0" quotePrefix="0" xfId="1">
      <alignment horizontal="right" vertical="top" wrapText="1"/>
    </xf>
    <xf numFmtId="0" fontId="0" fillId="0" borderId="1" applyAlignment="1" pivotButton="0" quotePrefix="0" xfId="0">
      <alignment horizontal="right" vertical="top" wrapText="1"/>
    </xf>
    <xf numFmtId="164" fontId="5" fillId="2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  <xf numFmtId="165" fontId="0" fillId="6" borderId="1" applyAlignment="1" pivotButton="0" quotePrefix="0" xfId="1">
      <alignment horizontal="left" vertical="top" wrapText="1"/>
    </xf>
    <xf numFmtId="164" fontId="4" fillId="3" borderId="1" applyAlignment="1" pivotButton="0" quotePrefix="0" xfId="1">
      <alignment horizontal="left" vertical="top" wrapText="1"/>
    </xf>
    <xf numFmtId="164" fontId="3" fillId="3" borderId="1" applyAlignment="1" pivotButton="0" quotePrefix="0" xfId="1">
      <alignment horizontal="left" vertical="top" wrapText="1"/>
    </xf>
    <xf numFmtId="165" fontId="4" fillId="6" borderId="1" applyAlignment="1" pivotButton="0" quotePrefix="0" xfId="1">
      <alignment horizontal="left" vertical="top" wrapText="1"/>
    </xf>
    <xf numFmtId="165" fontId="0" fillId="3" borderId="1" applyAlignment="1" pivotButton="0" quotePrefix="0" xfId="1">
      <alignment horizontal="left" vertical="top" wrapText="1"/>
    </xf>
    <xf numFmtId="166" fontId="4" fillId="3" borderId="1" applyAlignment="1" pivotButton="0" quotePrefix="0" xfId="1">
      <alignment vertical="top" wrapText="1"/>
    </xf>
    <xf numFmtId="0" fontId="3" fillId="3" borderId="1" applyAlignment="1" pivotButton="0" quotePrefix="0" xfId="1">
      <alignment horizontal="right" vertical="top" wrapText="1"/>
    </xf>
    <xf numFmtId="164" fontId="5" fillId="0" borderId="0" applyAlignment="1" pivotButton="0" quotePrefix="0" xfId="1">
      <alignment horizontal="left" vertical="top" wrapText="1"/>
    </xf>
    <xf numFmtId="164" fontId="7" fillId="5" borderId="0" applyAlignment="1" pivotButton="0" quotePrefix="0" xfId="1">
      <alignment horizontal="left" vertical="top" wrapText="1"/>
    </xf>
    <xf numFmtId="164" fontId="5" fillId="0" borderId="3" applyAlignment="1" pivotButton="0" quotePrefix="0" xfId="1">
      <alignment horizontal="left" vertical="top" wrapText="1"/>
    </xf>
    <xf numFmtId="164" fontId="5" fillId="0" borderId="4" applyAlignment="1" pivotButton="0" quotePrefix="0" xfId="1">
      <alignment horizontal="left" vertical="top" wrapText="1"/>
    </xf>
    <xf numFmtId="164" fontId="5" fillId="0" borderId="0" applyAlignment="1" pivotButton="0" quotePrefix="0" xfId="0">
      <alignment horizontal="left" vertical="top" wrapText="1"/>
    </xf>
    <xf numFmtId="164" fontId="5" fillId="2" borderId="0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left" vertical="top" wrapText="1"/>
    </xf>
    <xf numFmtId="165" fontId="0" fillId="0" borderId="1" applyAlignment="1" pivotButton="0" quotePrefix="0" xfId="1">
      <alignment horizontal="left" vertical="top" wrapText="1"/>
    </xf>
    <xf numFmtId="165" fontId="0" fillId="6" borderId="1" applyAlignment="1" pivotButton="0" quotePrefix="0" xfId="1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164" fontId="5" fillId="0" borderId="1" applyAlignment="1" pivotButton="0" quotePrefix="0" xfId="1">
      <alignment horizontal="left" vertical="top" wrapText="1"/>
    </xf>
    <xf numFmtId="164" fontId="0" fillId="0" borderId="1" applyAlignment="1" pivotButton="0" quotePrefix="0" xfId="0">
      <alignment horizontal="left" vertical="top" wrapText="1"/>
    </xf>
    <xf numFmtId="165" fontId="8" fillId="0" borderId="1" applyAlignment="1" pivotButton="0" quotePrefix="0" xfId="1">
      <alignment horizontal="left" vertical="top" wrapText="1"/>
    </xf>
    <xf numFmtId="165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left" vertical="top" wrapText="1"/>
    </xf>
    <xf numFmtId="164" fontId="0" fillId="6" borderId="0" applyAlignment="1" pivotButton="0" quotePrefix="0" xfId="1">
      <alignment horizontal="left" vertical="top" wrapText="1"/>
    </xf>
    <xf numFmtId="164" fontId="5" fillId="2" borderId="1" applyAlignment="1" pivotButton="0" quotePrefix="0" xfId="1">
      <alignment horizontal="left" vertical="top" wrapText="1"/>
    </xf>
    <xf numFmtId="164" fontId="7" fillId="6" borderId="0" applyAlignment="1" pivotButton="0" quotePrefix="0" xfId="1">
      <alignment horizontal="left" vertical="top" wrapText="1"/>
    </xf>
    <xf numFmtId="164" fontId="6" fillId="5" borderId="1" applyAlignment="1" pivotButton="0" quotePrefix="0" xfId="1">
      <alignment horizontal="left" vertical="top" wrapText="1"/>
    </xf>
    <xf numFmtId="164" fontId="4" fillId="3" borderId="1" applyAlignment="1" pivotButton="0" quotePrefix="0" xfId="1">
      <alignment horizontal="left" vertical="top" wrapText="1"/>
    </xf>
    <xf numFmtId="164" fontId="3" fillId="3" borderId="1" applyAlignment="1" pivotButton="0" quotePrefix="0" xfId="1">
      <alignment horizontal="left" vertical="top" wrapText="1"/>
    </xf>
    <xf numFmtId="166" fontId="4" fillId="3" borderId="1" applyAlignment="1" pivotButton="0" quotePrefix="0" xfId="1">
      <alignment vertical="top" wrapText="1"/>
    </xf>
    <xf numFmtId="165" fontId="4" fillId="6" borderId="1" applyAlignment="1" pivotButton="0" quotePrefix="0" xfId="1">
      <alignment horizontal="left" vertical="top" wrapText="1"/>
    </xf>
    <xf numFmtId="165" fontId="0" fillId="3" borderId="1" applyAlignment="1" pivotButton="0" quotePrefix="0" xfId="1">
      <alignment horizontal="left" vertical="top" wrapText="1"/>
    </xf>
    <xf numFmtId="164" fontId="0" fillId="3" borderId="1" applyAlignment="1" pivotButton="0" quotePrefix="0" xfId="1">
      <alignment horizontal="left" vertical="top" wrapText="1"/>
    </xf>
    <xf numFmtId="164" fontId="0" fillId="0" borderId="1" applyAlignment="1" pivotButton="0" quotePrefix="0" xfId="1">
      <alignment horizontal="left" vertical="top" wrapText="1"/>
    </xf>
    <xf numFmtId="164" fontId="1" fillId="0" borderId="0" applyAlignment="1" pivotButton="0" quotePrefix="0" xfId="1">
      <alignment horizontal="left" vertical="top" wrapText="1"/>
    </xf>
    <xf numFmtId="164" fontId="2" fillId="0" borderId="0" applyAlignment="1" pivotButton="0" quotePrefix="0" xfId="1">
      <alignment horizontal="left" vertical="top" wrapText="1"/>
    </xf>
    <xf numFmtId="164" fontId="7" fillId="5" borderId="0" applyAlignment="1" pivotButton="0" quotePrefix="0" xfId="1">
      <alignment horizontal="left" vertical="top" wrapText="1"/>
    </xf>
    <xf numFmtId="164" fontId="0" fillId="4" borderId="1" applyAlignment="1" pivotButton="0" quotePrefix="0" xfId="1">
      <alignment horizontal="left" vertical="top" wrapText="1"/>
    </xf>
    <xf numFmtId="164" fontId="0" fillId="4" borderId="0" applyAlignment="1" pivotButton="0" quotePrefix="0" xfId="1">
      <alignment horizontal="left" vertical="top" wrapText="1"/>
    </xf>
    <xf numFmtId="164" fontId="6" fillId="5" borderId="0" applyAlignment="1" pivotButton="0" quotePrefix="0" xfId="1">
      <alignment horizontal="left" vertical="top" wrapText="1"/>
    </xf>
    <xf numFmtId="164" fontId="7" fillId="5" borderId="1" applyAlignment="1" pivotButton="0" quotePrefix="0" xfId="1">
      <alignment horizontal="left" vertical="top" wrapText="1"/>
    </xf>
    <xf numFmtId="164" fontId="8" fillId="6" borderId="1" applyAlignment="1" pivotButton="0" quotePrefix="0" xfId="1">
      <alignment horizontal="left" vertical="top" wrapText="1"/>
    </xf>
    <xf numFmtId="164" fontId="5" fillId="2" borderId="0" applyAlignment="1" pivotButton="0" quotePrefix="0" xfId="1">
      <alignment horizontal="left" vertical="top" wrapText="1"/>
    </xf>
    <xf numFmtId="164" fontId="5" fillId="3" borderId="1" applyAlignment="1" pivotButton="0" quotePrefix="0" xfId="1">
      <alignment horizontal="left" vertical="top" wrapText="1"/>
    </xf>
    <xf numFmtId="164" fontId="0" fillId="0" borderId="2" applyAlignment="1" pivotButton="0" quotePrefix="0" xfId="1">
      <alignment horizontal="left" vertical="top" wrapText="1"/>
    </xf>
    <xf numFmtId="164" fontId="5" fillId="0" borderId="9" applyAlignment="1" pivotButton="0" quotePrefix="0" xfId="1">
      <alignment horizontal="left" vertical="top" wrapText="1"/>
    </xf>
    <xf numFmtId="0" fontId="0" fillId="0" borderId="4" pivotButton="0" quotePrefix="0" xfId="0"/>
    <xf numFmtId="164" fontId="5" fillId="0" borderId="0" applyAlignment="1" pivotButton="0" quotePrefix="0" xfId="1">
      <alignment horizontal="left" vertical="top"/>
    </xf>
    <xf numFmtId="164" fontId="5" fillId="0" borderId="0" applyAlignment="1" pivotButton="0" quotePrefix="0" xfId="1">
      <alignment horizontal="left"/>
    </xf>
    <xf numFmtId="164" fontId="0" fillId="0" borderId="5" applyAlignment="1" pivotButton="0" quotePrefix="0" xfId="1">
      <alignment horizontal="left" vertical="top" wrapText="1"/>
    </xf>
    <xf numFmtId="164" fontId="0" fillId="0" borderId="6" applyAlignment="1" pivotButton="0" quotePrefix="0" xfId="1">
      <alignment horizontal="left" vertical="top" wrapText="1"/>
    </xf>
    <xf numFmtId="164" fontId="0" fillId="0" borderId="0" applyAlignment="1" pivotButton="0" quotePrefix="0" xfId="1">
      <alignment horizontal="left" vertical="top"/>
    </xf>
    <xf numFmtId="164" fontId="0" fillId="0" borderId="0" applyAlignment="1" pivotButton="0" quotePrefix="0" xfId="1">
      <alignment horizontal="left"/>
    </xf>
    <xf numFmtId="164" fontId="5" fillId="0" borderId="0" applyAlignment="1" pivotButton="0" quotePrefix="0" xfId="1">
      <alignment horizontal="left" vertical="top" wrapText="1"/>
    </xf>
    <xf numFmtId="164" fontId="0" fillId="0" borderId="7" applyAlignment="1" pivotButton="0" quotePrefix="0" xfId="1">
      <alignment horizontal="left" vertical="top" wrapText="1"/>
    </xf>
    <xf numFmtId="164" fontId="0" fillId="0" borderId="8" applyAlignment="1" pivotButton="0" quotePrefix="0" xfId="1">
      <alignment horizontal="left" vertical="top" wrapText="1"/>
    </xf>
  </cellXfs>
  <cellStyles count="2">
    <cellStyle name="Normal" xfId="0" builtinId="0"/>
    <cellStyle name="Comm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zoomScale="85" zoomScaleNormal="85" workbookViewId="0">
      <selection activeCell="G10" sqref="G10"/>
    </sheetView>
  </sheetViews>
  <sheetFormatPr baseColWidth="8" defaultColWidth="9.08984375" defaultRowHeight="14.5"/>
  <cols>
    <col width="21.54296875" customWidth="1" style="1" min="1" max="1"/>
    <col width="14.453125" customWidth="1" style="1" min="2" max="2"/>
    <col width="14" bestFit="1" customWidth="1" style="1" min="3" max="3"/>
    <col width="14.6328125" bestFit="1" customWidth="1" style="1" min="4" max="4"/>
    <col width="12.54296875" bestFit="1" customWidth="1" style="1" min="5" max="5"/>
    <col width="14.26953125" bestFit="1" customWidth="1" style="1" min="6" max="6"/>
    <col width="14.36328125" customWidth="1" style="1" min="7" max="7"/>
    <col width="13" bestFit="1" customWidth="1" style="1" min="8" max="8"/>
    <col width="14.453125" bestFit="1" customWidth="1" style="1" min="9" max="9"/>
    <col width="17" bestFit="1" customWidth="1" style="1" min="10" max="10"/>
    <col width="13.81640625" bestFit="1" customWidth="1" style="1" min="11" max="11"/>
    <col width="17.453125" customWidth="1" style="1" min="12" max="12"/>
    <col width="15.81640625" bestFit="1" customWidth="1" style="16" min="13" max="13"/>
    <col width="9.08984375" customWidth="1" style="16" min="14" max="16384"/>
  </cols>
  <sheetData>
    <row r="1">
      <c r="F1" s="34" t="n"/>
    </row>
    <row r="2">
      <c r="A2" s="62">
        <f>'data-sheet'!A6</f>
        <v/>
      </c>
      <c r="B2" s="63">
        <f>'data-sheet'!N4</f>
        <v/>
      </c>
      <c r="C2" s="18" t="n"/>
      <c r="D2" s="18" t="n"/>
      <c r="E2" s="18" t="n"/>
      <c r="F2" s="34" t="n"/>
      <c r="G2" s="18" t="n"/>
      <c r="H2" s="18" t="n"/>
      <c r="I2" s="18" t="n"/>
      <c r="J2" s="18" t="n"/>
      <c r="K2" s="18" t="n"/>
      <c r="L2" s="18" t="n"/>
    </row>
    <row r="3" ht="72.5" customHeight="1">
      <c r="A3" s="64">
        <f>'data-sheet'!A7</f>
        <v/>
      </c>
      <c r="B3" s="64">
        <f>'data-sheet'!D7</f>
        <v/>
      </c>
      <c r="C3" s="64">
        <f>'data-sheet'!E7</f>
        <v/>
      </c>
      <c r="D3" s="64">
        <f>'data-sheet'!F7</f>
        <v/>
      </c>
      <c r="E3" s="64">
        <f>'data-sheet'!J7</f>
        <v/>
      </c>
      <c r="F3" s="34" t="n"/>
      <c r="G3" s="64">
        <f>'data-sheet'!K7</f>
        <v/>
      </c>
      <c r="H3" s="64">
        <f>'data-sheet'!L3</f>
        <v/>
      </c>
      <c r="I3" s="64">
        <f>'data-sheet'!M7</f>
        <v/>
      </c>
      <c r="J3" s="64">
        <f>'data-sheet'!N7</f>
        <v/>
      </c>
      <c r="K3" s="64">
        <f>'data-sheet'!O7</f>
        <v/>
      </c>
      <c r="L3" s="64">
        <f>'data-sheet'!P7</f>
        <v/>
      </c>
    </row>
    <row r="4">
      <c r="A4" s="48">
        <f>'data-sheet'!A8</f>
        <v/>
      </c>
      <c r="B4" s="65">
        <f>'data-sheet'!D8</f>
        <v/>
      </c>
      <c r="C4" s="65">
        <f>'data-sheet'!E8</f>
        <v/>
      </c>
      <c r="D4" s="65">
        <f>'data-sheet'!F8</f>
        <v/>
      </c>
      <c r="E4" s="65">
        <f>'data-sheet'!J8</f>
        <v/>
      </c>
      <c r="F4" s="34" t="n"/>
      <c r="G4" s="65">
        <f>'data-sheet'!K8</f>
        <v/>
      </c>
      <c r="H4" s="65">
        <f>'data-sheet'!L8</f>
        <v/>
      </c>
      <c r="I4" s="65">
        <f>'data-sheet'!M8</f>
        <v/>
      </c>
      <c r="J4" s="65">
        <f>'data-sheet'!N8</f>
        <v/>
      </c>
      <c r="K4" s="65">
        <f>'data-sheet'!O8</f>
        <v/>
      </c>
      <c r="L4" s="66">
        <f>'data-sheet'!P8</f>
        <v/>
      </c>
    </row>
    <row r="5">
      <c r="A5" s="18" t="n"/>
      <c r="B5" s="18" t="n"/>
      <c r="C5" s="67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inlineStr">
        <is>
          <t>Approval Required</t>
        </is>
      </c>
    </row>
    <row r="6">
      <c r="A6" s="22">
        <f>'data-sheet'!A11</f>
        <v/>
      </c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8" t="n"/>
      <c r="L6" s="18" t="n"/>
    </row>
    <row r="7" ht="58" customFormat="1" customHeight="1" s="22">
      <c r="A7" s="33" t="n"/>
      <c r="B7" s="64">
        <f>'data-sheet'!D12</f>
        <v/>
      </c>
      <c r="C7" s="64">
        <f>'data-sheet'!E12</f>
        <v/>
      </c>
      <c r="D7" s="64">
        <f>'data-sheet'!F12</f>
        <v/>
      </c>
      <c r="E7" s="64">
        <f>'data-sheet'!J12</f>
        <v/>
      </c>
      <c r="F7" s="64" t="inlineStr">
        <is>
          <t>Pro-rated PO Value as per surveyed length</t>
        </is>
      </c>
      <c r="G7" s="64">
        <f>'data-sheet'!K12</f>
        <v/>
      </c>
      <c r="H7" s="68">
        <f>H3</f>
        <v/>
      </c>
      <c r="I7" s="64">
        <f>'data-sheet'!M12</f>
        <v/>
      </c>
      <c r="J7" s="64">
        <f>'data-sheet'!N12</f>
        <v/>
      </c>
      <c r="K7" s="34" t="n"/>
      <c r="L7" s="34" t="n"/>
    </row>
    <row r="8">
      <c r="A8" s="69">
        <f>'data-sheet'!A14</f>
        <v/>
      </c>
      <c r="B8" s="65">
        <f>'data-sheet'!D14</f>
        <v/>
      </c>
      <c r="C8" s="65">
        <f>'data-sheet'!E14</f>
        <v/>
      </c>
      <c r="D8" s="65">
        <f>'data-sheet'!F14</f>
        <v/>
      </c>
      <c r="E8" s="65">
        <f>'data-sheet'!J14</f>
        <v/>
      </c>
      <c r="F8" s="65" t="n"/>
      <c r="G8" s="65">
        <f>'data-sheet'!K14</f>
        <v/>
      </c>
      <c r="H8" s="65">
        <f>'data-sheet'!L14</f>
        <v/>
      </c>
      <c r="I8" s="65">
        <f>'data-sheet'!M14</f>
        <v/>
      </c>
      <c r="J8" s="65">
        <f>'data-sheet'!N14</f>
        <v/>
      </c>
      <c r="K8" s="18" t="n"/>
      <c r="L8" s="67" t="n"/>
    </row>
    <row r="9">
      <c r="A9" s="69">
        <f>'data-sheet'!A15</f>
        <v/>
      </c>
      <c r="B9" s="65">
        <f>'data-sheet'!D15</f>
        <v/>
      </c>
      <c r="C9" s="65">
        <f>'data-sheet'!E15</f>
        <v/>
      </c>
      <c r="D9" s="65">
        <f>'data-sheet'!F15</f>
        <v/>
      </c>
      <c r="E9" s="65">
        <f>'data-sheet'!J15</f>
        <v/>
      </c>
      <c r="F9" s="65" t="n"/>
      <c r="G9" s="65">
        <f>'data-sheet'!K15</f>
        <v/>
      </c>
      <c r="H9" s="65">
        <f>'data-sheet'!L15</f>
        <v/>
      </c>
      <c r="I9" s="65">
        <f>'data-sheet'!M15</f>
        <v/>
      </c>
      <c r="J9" s="65">
        <f>'data-sheet'!N15</f>
        <v/>
      </c>
      <c r="K9" s="18" t="n"/>
      <c r="L9" s="18" t="n"/>
    </row>
    <row r="10">
      <c r="A10" s="69">
        <f>'data-sheet'!A16</f>
        <v/>
      </c>
      <c r="B10" s="65">
        <f>'data-sheet'!D16</f>
        <v/>
      </c>
      <c r="C10" s="65">
        <f>'data-sheet'!E16</f>
        <v/>
      </c>
      <c r="D10" s="65">
        <f>'data-sheet'!F16</f>
        <v/>
      </c>
      <c r="E10" s="65">
        <f>'data-sheet'!J16</f>
        <v/>
      </c>
      <c r="F10" s="65">
        <f>'data-sheet'!K16</f>
        <v/>
      </c>
      <c r="G10" s="65">
        <f>G9</f>
        <v/>
      </c>
      <c r="H10" s="65" t="n"/>
      <c r="I10" s="65">
        <f>'data-sheet'!M16</f>
        <v/>
      </c>
      <c r="J10" s="70">
        <f>'data-sheet'!N16</f>
        <v/>
      </c>
      <c r="K10" s="18" t="n"/>
      <c r="L10" s="18" t="n"/>
    </row>
    <row r="12">
      <c r="C12" s="71" t="n"/>
    </row>
    <row r="15">
      <c r="A15" s="72" t="n"/>
      <c r="B15" s="72" t="n"/>
      <c r="C15" s="7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27"/>
  <sheetViews>
    <sheetView showGridLines="0" tabSelected="1" zoomScale="63" zoomScaleNormal="63" workbookViewId="0">
      <pane ySplit="16" topLeftCell="A17" activePane="bottomLeft" state="frozen"/>
      <selection pane="bottomLeft" activeCell="H26" sqref="H26"/>
    </sheetView>
  </sheetViews>
  <sheetFormatPr baseColWidth="8" defaultColWidth="8.7265625" defaultRowHeight="14.5"/>
  <cols>
    <col width="18.08984375" bestFit="1" customWidth="1" style="73" min="1" max="1"/>
    <col width="25.54296875" customWidth="1" style="73" min="2" max="2"/>
    <col width="12.08984375" bestFit="1" customWidth="1" style="73" min="3" max="3"/>
    <col width="11" customWidth="1" style="73" min="4" max="4"/>
    <col width="17.54296875" customWidth="1" style="73" min="5" max="5"/>
    <col width="17" bestFit="1" customWidth="1" style="73" min="6" max="6"/>
    <col width="18.54296875" customWidth="1" style="73" min="7" max="7"/>
    <col width="16" customWidth="1" style="73" min="8" max="8"/>
    <col width="15.81640625" customWidth="1" style="73" min="9" max="9"/>
    <col width="13.1796875" bestFit="1" customWidth="1" style="73" min="10" max="10"/>
    <col width="18.1796875" customWidth="1" style="73" min="11" max="11"/>
    <col width="20.90625" bestFit="1" customWidth="1" style="73" min="12" max="12"/>
    <col width="14.81640625" bestFit="1" customWidth="1" style="73" min="13" max="13"/>
    <col width="17.36328125" bestFit="1" customWidth="1" style="73" min="14" max="14"/>
    <col width="14" bestFit="1" customWidth="1" style="73" min="15" max="15"/>
    <col width="20.6328125" customWidth="1" style="73" min="16" max="16"/>
    <col width="11.7265625" bestFit="1" customWidth="1" style="73" min="17" max="17"/>
    <col width="8.7265625" customWidth="1" style="74" min="18" max="16384"/>
  </cols>
  <sheetData>
    <row r="2">
      <c r="A2" s="75" t="inlineStr">
        <is>
          <t>Budget</t>
        </is>
      </c>
    </row>
    <row r="3" ht="29" customFormat="1" customHeight="1" s="76">
      <c r="A3" s="77" t="inlineStr">
        <is>
          <t>SR No.</t>
        </is>
      </c>
      <c r="B3" s="77" t="inlineStr">
        <is>
          <t>Route No.</t>
        </is>
      </c>
      <c r="C3" s="77" t="inlineStr">
        <is>
          <t>Type Modility</t>
        </is>
      </c>
      <c r="D3" s="77" t="inlineStr">
        <is>
          <t>PO Length</t>
        </is>
      </c>
      <c r="E3" s="77" t="inlineStr">
        <is>
          <t>Surveyed length</t>
        </is>
      </c>
      <c r="F3" s="77" t="inlineStr">
        <is>
          <t>Budgeted RI Cost W/O Deposit</t>
        </is>
      </c>
      <c r="G3" s="77" t="inlineStr">
        <is>
          <t>Budgeted RI/mtr Cost</t>
        </is>
      </c>
      <c r="H3" s="77" t="inlineStr">
        <is>
          <t>Budgeted Service/mtr Cost</t>
        </is>
      </c>
      <c r="I3" s="77" t="inlineStr">
        <is>
          <t>Budgeted Material/mtr Cost</t>
        </is>
      </c>
      <c r="J3" s="77" t="inlineStr">
        <is>
          <t>Total/mtr Cost</t>
        </is>
      </c>
      <c r="K3" s="77" t="n"/>
      <c r="L3" s="77" t="inlineStr">
        <is>
          <t>Total Budgeted Cost for route</t>
        </is>
      </c>
      <c r="M3" s="77" t="inlineStr">
        <is>
          <t>Target Date of comletion</t>
        </is>
      </c>
      <c r="N3" s="77" t="inlineStr">
        <is>
          <t>Category Type</t>
        </is>
      </c>
      <c r="O3" s="77" t="inlineStr">
        <is>
          <t>PO Number</t>
        </is>
      </c>
      <c r="P3" s="77" t="inlineStr">
        <is>
          <t>PO Value W/O GST</t>
        </is>
      </c>
      <c r="Q3" s="77" t="inlineStr">
        <is>
          <t>PO Value/mtr</t>
        </is>
      </c>
    </row>
    <row r="4">
      <c r="A4" s="78" t="n">
        <v>1</v>
      </c>
      <c r="B4" s="79" t="n"/>
      <c r="C4" s="79" t="n"/>
      <c r="D4" s="57" t="n"/>
      <c r="E4" s="80" t="n"/>
      <c r="F4" s="78" t="n"/>
      <c r="G4" s="81">
        <f>F4/E4</f>
        <v/>
      </c>
      <c r="H4" s="82" t="n"/>
      <c r="I4" s="83" t="n"/>
      <c r="J4" s="65">
        <f>G4+H4+I4</f>
        <v/>
      </c>
      <c r="K4" s="84" t="n"/>
      <c r="L4" s="84">
        <f>J4*E4</f>
        <v/>
      </c>
      <c r="M4" s="36" t="n"/>
      <c r="N4" s="83" t="n"/>
      <c r="O4" s="35" t="n"/>
      <c r="P4" s="83" t="n"/>
      <c r="Q4" s="84">
        <f>P4/D4</f>
        <v/>
      </c>
    </row>
    <row r="5">
      <c r="B5" s="85" t="n"/>
      <c r="C5" s="86" t="n"/>
    </row>
    <row r="6">
      <c r="A6" s="73" t="inlineStr">
        <is>
          <t>Total DN Analysis</t>
        </is>
      </c>
      <c r="E6" s="73" t="n"/>
      <c r="F6" s="73" t="n"/>
    </row>
    <row r="7" ht="87" customFormat="1" customHeight="1" s="76">
      <c r="A7" s="77" t="inlineStr">
        <is>
          <t>Total Cumulative DN Received</t>
        </is>
      </c>
      <c r="B7" s="77" t="n"/>
      <c r="C7" s="77" t="n"/>
      <c r="D7" s="77" t="inlineStr">
        <is>
          <t>DN Length</t>
        </is>
      </c>
      <c r="E7" s="77" t="inlineStr">
        <is>
          <t>Surveyed length</t>
        </is>
      </c>
      <c r="F7" s="77" t="inlineStr">
        <is>
          <t>Total Actual RI Including All Non-Refundable Charges (Excluding Deposit)</t>
        </is>
      </c>
      <c r="G7" s="77" t="inlineStr">
        <is>
          <t>Actual RI/mtr Cost</t>
        </is>
      </c>
      <c r="H7" s="77" t="inlineStr">
        <is>
          <t>Actual Service/mtr Cost</t>
        </is>
      </c>
      <c r="I7" s="77" t="inlineStr">
        <is>
          <t>Actual Material/mtr Cost</t>
        </is>
      </c>
      <c r="J7" s="77" t="inlineStr">
        <is>
          <t>Total/mtr Cost</t>
        </is>
      </c>
      <c r="K7" s="77" t="inlineStr">
        <is>
          <t>Total Actual Cost for route</t>
        </is>
      </c>
      <c r="L7" s="77" t="inlineStr">
        <is>
          <t>Total Budgeted Cost for route</t>
        </is>
      </c>
      <c r="M7" s="77" t="inlineStr">
        <is>
          <t>Difference Total</t>
        </is>
      </c>
      <c r="N7" s="77" t="inlineStr">
        <is>
          <t>Difference/mtr Cost</t>
        </is>
      </c>
      <c r="O7" s="77" t="inlineStr">
        <is>
          <t>Deposit Amount</t>
        </is>
      </c>
      <c r="P7" s="77" t="inlineStr">
        <is>
          <t>Total Payable Amount to Authority</t>
        </is>
      </c>
      <c r="Q7" s="87" t="n"/>
    </row>
    <row r="8">
      <c r="A8" s="47">
        <f>SUBTOTAL(3,#REF!,B21,#REF!,#REF!,#REF!,#REF!,#REF!,#REF!,#REF!,#REF!,#REF!,#REF!,#REF!,#REF!,#REF!,#REF!,#REF!,#REF!,#REF!)</f>
        <v/>
      </c>
      <c r="B8" s="88" t="n"/>
      <c r="C8" s="88" t="n"/>
      <c r="D8" s="88">
        <f>SUM(D21,#REF!,#REF!,#REF!,#REF!,#REF!,#REF!,#REF!,#REF!,#REF!,#REF!,#REF!,#REF!,#REF!,#REF!,#REF!,#REF!,#REF!,#REF!)</f>
        <v/>
      </c>
      <c r="E8" s="88">
        <f>SUM(E21,#REF!,#REF!,#REF!,#REF!,#REF!,#REF!,#REF!,#REF!,#REF!,#REF!,#REF!,#REF!,#REF!,#REF!,#REF!,#REF!,#REF!,#REF!)</f>
        <v/>
      </c>
      <c r="F8" s="88">
        <f>SUM(F21,#REF!,#REF!,#REF!,#REF!,#REF!,#REF!,#REF!,#REF!,#REF!,#REF!,#REF!,#REF!,#REF!,#REF!,#REF!,#REF!,#REF!,#REF!)</f>
        <v/>
      </c>
      <c r="G8" s="88">
        <f>F8/D8</f>
        <v/>
      </c>
      <c r="H8" s="88">
        <f>(H21*$D21+#REF!*#REF!+#REF!*#REF!+#REF!*#REF!+#REF!*#REF!+#REF!*#REF!+#REF!*#REF!+#REF!*#REF!+#REF!*#REF!+#REF!*#REF!+#REF!*#REF!+#REF!*#REF!+#REF!*#REF!+#REF!*#REF!+#REF!*#REF!+#REF!*#REF!+#REF!*#REF!+#REF!*#REF!)/$D8</f>
        <v/>
      </c>
      <c r="I8" s="88">
        <f>(I21*$D21+#REF!*#REF!+#REF!*#REF!+#REF!*#REF!+#REF!*#REF!+#REF!*#REF!+#REF!*#REF!+#REF!*#REF!+#REF!*#REF!+#REF!*#REF!+#REF!*#REF!+#REF!*#REF!+#REF!*#REF!+#REF!*#REF!+#REF!*#REF!+#REF!*#REF!+#REF!*#REF!+#REF!*#REF!+#REF!*#REF!)/$D8</f>
        <v/>
      </c>
      <c r="J8" s="88">
        <f>G8+H8+I8</f>
        <v/>
      </c>
      <c r="K8" s="88">
        <f>J8*D8</f>
        <v/>
      </c>
      <c r="L8" s="88">
        <f>L$4/E$4*D8</f>
        <v/>
      </c>
      <c r="M8" s="88">
        <f>(J$4*D8)-K8</f>
        <v/>
      </c>
      <c r="N8" s="88">
        <f>M8/D8</f>
        <v/>
      </c>
      <c r="O8" s="88">
        <f>SUM(O21+#REF!+#REF!+#REF!+#REF!+#REF!+#REF!+#REF!+#REF!+#REF!+#REF!+#REF!+#REF!+#REF!+#REF!+#REF!+#REF!+#REF!)</f>
        <v/>
      </c>
      <c r="P8" s="88">
        <f>F8+O8</f>
        <v/>
      </c>
      <c r="Q8" s="89" t="n"/>
    </row>
    <row r="9">
      <c r="E9" s="73" t="n"/>
      <c r="F9" s="73" t="n"/>
    </row>
    <row r="10">
      <c r="E10" s="73" t="n"/>
      <c r="F10" s="73" t="n"/>
    </row>
    <row r="11">
      <c r="A11" s="75" t="inlineStr">
        <is>
          <t>Projection</t>
        </is>
      </c>
    </row>
    <row r="12" ht="43.5" customFormat="1" customHeight="1" s="76">
      <c r="A12" s="90" t="n"/>
      <c r="B12" s="77" t="n"/>
      <c r="C12" s="77" t="n"/>
      <c r="D12" s="77" t="inlineStr">
        <is>
          <t>PO Length</t>
        </is>
      </c>
      <c r="E12" s="77" t="inlineStr">
        <is>
          <t>Surveyed length</t>
        </is>
      </c>
      <c r="F12" s="77" t="inlineStr">
        <is>
          <t>Balance Budgeted RI Cost W/O Deposit</t>
        </is>
      </c>
      <c r="G12" s="77" t="inlineStr">
        <is>
          <t>Budgeted RI/mtr Cost</t>
        </is>
      </c>
      <c r="H12" s="77" t="inlineStr">
        <is>
          <t>Projected Service/mtr Cost</t>
        </is>
      </c>
      <c r="I12" s="77" t="inlineStr">
        <is>
          <t>Projected Material/mtr Cost</t>
        </is>
      </c>
      <c r="J12" s="77" t="inlineStr">
        <is>
          <t>Total/mtr Cost</t>
        </is>
      </c>
      <c r="K12" s="77" t="inlineStr">
        <is>
          <t>Total Actual Cost for route</t>
        </is>
      </c>
      <c r="L12" s="77" t="inlineStr">
        <is>
          <t>Total Budgeted Cost for route</t>
        </is>
      </c>
      <c r="M12" s="77" t="inlineStr">
        <is>
          <t>Estimated Difference</t>
        </is>
      </c>
      <c r="N12" s="77" t="inlineStr">
        <is>
          <t>Difference/mtr Cost</t>
        </is>
      </c>
      <c r="O12" s="87" t="n"/>
      <c r="P12" s="87" t="n"/>
      <c r="Q12" s="87" t="n"/>
    </row>
    <row r="13" customFormat="1" s="76">
      <c r="A13" s="90" t="n"/>
      <c r="B13" s="77" t="n"/>
      <c r="C13" s="77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87" t="n"/>
      <c r="P13" s="87" t="n"/>
      <c r="Q13" s="87" t="n"/>
    </row>
    <row r="14" customFormat="1" s="76">
      <c r="A14" s="91" t="inlineStr">
        <is>
          <t>Balance Route</t>
        </is>
      </c>
      <c r="B14" s="91" t="n"/>
      <c r="C14" s="91" t="n"/>
      <c r="D14" s="91" t="n"/>
      <c r="E14" s="91">
        <f>E4-E8</f>
        <v/>
      </c>
      <c r="F14" s="91">
        <f>G14*E14</f>
        <v/>
      </c>
      <c r="G14" s="91">
        <f>G4</f>
        <v/>
      </c>
      <c r="H14" s="92">
        <f>H4</f>
        <v/>
      </c>
      <c r="I14" s="92">
        <f>I4</f>
        <v/>
      </c>
      <c r="J14" s="91">
        <f>G14+H14+I14</f>
        <v/>
      </c>
      <c r="K14" s="91">
        <f>J14*E14</f>
        <v/>
      </c>
      <c r="L14" s="91">
        <f>L$4/E$4*E14</f>
        <v/>
      </c>
      <c r="M14" s="91" t="n"/>
      <c r="N14" s="91" t="n"/>
      <c r="O14" s="87" t="n"/>
      <c r="P14" s="87" t="n"/>
      <c r="Q14" s="87" t="n"/>
    </row>
    <row r="15" customFormat="1" s="76">
      <c r="A15" s="91" t="inlineStr">
        <is>
          <t>Total Route</t>
        </is>
      </c>
      <c r="B15" s="91" t="n"/>
      <c r="C15" s="91" t="n"/>
      <c r="D15" s="91">
        <f>D4</f>
        <v/>
      </c>
      <c r="E15" s="91">
        <f>E4</f>
        <v/>
      </c>
      <c r="F15" s="91">
        <f>F8+F14</f>
        <v/>
      </c>
      <c r="G15" s="91">
        <f>(G8*$E8+G14*$E14)/$E15</f>
        <v/>
      </c>
      <c r="H15" s="91">
        <f>(H8*$E8+H14*$E14)/$E15</f>
        <v/>
      </c>
      <c r="I15" s="91">
        <f>(I8*$E8+I14*$E14)/$E15</f>
        <v/>
      </c>
      <c r="J15" s="91">
        <f>SUM(G15:I15)</f>
        <v/>
      </c>
      <c r="K15" s="91">
        <f>J15*E15</f>
        <v/>
      </c>
      <c r="L15" s="91">
        <f>L$4/E$4*E15</f>
        <v/>
      </c>
      <c r="M15" s="91">
        <f>L4-K15</f>
        <v/>
      </c>
      <c r="N15" s="91">
        <f>M15/E15</f>
        <v/>
      </c>
      <c r="O15" s="87" t="n"/>
      <c r="P15" s="87" t="n"/>
      <c r="Q15" s="87" t="n"/>
    </row>
    <row r="16" customFormat="1" s="76">
      <c r="A16" s="91" t="inlineStr">
        <is>
          <t>Comparison with PO</t>
        </is>
      </c>
      <c r="B16" s="91" t="n"/>
      <c r="C16" s="91" t="n"/>
      <c r="D16" s="91" t="n"/>
      <c r="E16" s="91">
        <f>E15</f>
        <v/>
      </c>
      <c r="F16" s="91" t="n"/>
      <c r="G16" s="91" t="n"/>
      <c r="H16" s="91" t="n"/>
      <c r="I16" s="91" t="n"/>
      <c r="J16" s="91">
        <f>Q4</f>
        <v/>
      </c>
      <c r="K16" s="91">
        <f>J16*E16</f>
        <v/>
      </c>
      <c r="L16" s="91">
        <f>L15</f>
        <v/>
      </c>
      <c r="M16" s="91">
        <f>K16-K15</f>
        <v/>
      </c>
      <c r="N16" s="91">
        <f>M16/E15</f>
        <v/>
      </c>
      <c r="O16" s="87" t="n"/>
      <c r="P16" s="87" t="n"/>
      <c r="Q16" s="87" t="n"/>
    </row>
    <row r="17" customFormat="1" s="76">
      <c r="A17" s="87" t="n"/>
      <c r="B17" s="87" t="n"/>
      <c r="C17" s="87" t="n"/>
      <c r="D17" s="87" t="n"/>
      <c r="E17" s="87" t="n"/>
      <c r="F17" s="87" t="n"/>
      <c r="G17" s="87" t="n"/>
      <c r="H17" s="87" t="n"/>
      <c r="I17" s="87" t="n"/>
      <c r="J17" s="87" t="n"/>
      <c r="K17" s="87" t="n"/>
      <c r="L17" s="87" t="n"/>
      <c r="M17" s="87" t="n"/>
      <c r="N17" s="87" t="n"/>
      <c r="O17" s="87" t="n"/>
      <c r="P17" s="87" t="n"/>
      <c r="Q17" s="87" t="n"/>
    </row>
    <row r="19" ht="29" customHeight="1">
      <c r="A19" s="93" t="inlineStr">
        <is>
          <t>Demand Note Details</t>
        </is>
      </c>
    </row>
    <row r="20" ht="72.5" customHeight="1">
      <c r="A20" s="94" t="inlineStr">
        <is>
          <t>Approval Required</t>
        </is>
      </c>
      <c r="B20" s="68" t="inlineStr">
        <is>
          <t>DN Details</t>
        </is>
      </c>
      <c r="C20" s="68" t="inlineStr">
        <is>
          <t>Subsection ID</t>
        </is>
      </c>
      <c r="D20" s="68" t="inlineStr">
        <is>
          <t>DN Length</t>
        </is>
      </c>
      <c r="E20" s="68" t="inlineStr">
        <is>
          <t>Surveyed length</t>
        </is>
      </c>
      <c r="F20" s="68" t="inlineStr">
        <is>
          <t>Total Actual RI Including all Non-Refundable Charges (W/O Deposit)</t>
        </is>
      </c>
      <c r="G20" s="68" t="inlineStr">
        <is>
          <t>Actual RI/mtr Cost</t>
        </is>
      </c>
      <c r="H20" s="68" t="inlineStr">
        <is>
          <t>Actual Service/mtr Cost</t>
        </is>
      </c>
      <c r="I20" s="68" t="inlineStr">
        <is>
          <t>Actual Material/mtr Cost</t>
        </is>
      </c>
      <c r="J20" s="68" t="inlineStr">
        <is>
          <t>Total/mtr Cost</t>
        </is>
      </c>
      <c r="K20" s="68" t="inlineStr">
        <is>
          <t>Total Actual Cost for route</t>
        </is>
      </c>
      <c r="L20" s="68" t="inlineStr">
        <is>
          <t>Total Budgeted Cost for route</t>
        </is>
      </c>
      <c r="M20" s="68" t="inlineStr">
        <is>
          <t>Difference Total</t>
        </is>
      </c>
      <c r="N20" s="68" t="inlineStr">
        <is>
          <t>Difference/Cost</t>
        </is>
      </c>
      <c r="O20" s="68" t="inlineStr">
        <is>
          <t>Deposit Amount</t>
        </is>
      </c>
      <c r="P20" s="68" t="inlineStr">
        <is>
          <t>Total Payble Amount to Authority</t>
        </is>
      </c>
    </row>
    <row r="21" ht="15" customHeight="1" thickBot="1">
      <c r="A21" s="84" t="n">
        <v>1</v>
      </c>
      <c r="B21" s="42" t="n"/>
      <c r="C21" s="84" t="n"/>
      <c r="D21" s="84">
        <f>SUM(H23:H24)</f>
        <v/>
      </c>
      <c r="E21" s="95" t="n"/>
      <c r="F21" s="95">
        <f>SUM(F23:F26)</f>
        <v/>
      </c>
      <c r="G21" s="84">
        <f>F21/D21</f>
        <v/>
      </c>
      <c r="H21" s="84" t="n"/>
      <c r="I21" s="84" t="n"/>
      <c r="J21" s="84">
        <f>G21+H21+I21</f>
        <v/>
      </c>
      <c r="K21" s="84">
        <f>J21*D21</f>
        <v/>
      </c>
      <c r="L21" s="84">
        <f>L$4/E$4*D21</f>
        <v/>
      </c>
      <c r="M21" s="84">
        <f>(J$4*D21)-K21</f>
        <v/>
      </c>
      <c r="N21" s="84">
        <f>M21/D21</f>
        <v/>
      </c>
      <c r="O21" s="84">
        <f>F23/2</f>
        <v/>
      </c>
      <c r="P21" s="65">
        <f>F21+O21</f>
        <v/>
      </c>
    </row>
    <row r="22">
      <c r="E22" s="96" t="inlineStr">
        <is>
          <t>Breakup</t>
        </is>
      </c>
      <c r="F22" s="97" t="n"/>
      <c r="G22" s="73" t="inlineStr">
        <is>
          <t>Particulars</t>
        </is>
      </c>
      <c r="H22" s="73" t="inlineStr">
        <is>
          <t>Length</t>
        </is>
      </c>
      <c r="I22" s="73" t="inlineStr">
        <is>
          <t>Rate</t>
        </is>
      </c>
      <c r="J22" s="73" t="inlineStr">
        <is>
          <t>DLP</t>
        </is>
      </c>
      <c r="K22" s="73" t="inlineStr">
        <is>
          <t>Total</t>
        </is>
      </c>
      <c r="L22" s="98" t="n"/>
      <c r="M22" s="98" t="n"/>
      <c r="N22" s="99" t="n"/>
      <c r="O22" s="98" t="n"/>
    </row>
    <row r="23">
      <c r="E23" s="100" t="inlineStr">
        <is>
          <t>RI Charges</t>
        </is>
      </c>
      <c r="F23" s="101">
        <f>K26</f>
        <v/>
      </c>
      <c r="H23" s="43" t="n"/>
      <c r="K23" s="73">
        <f>H23*I23*J23</f>
        <v/>
      </c>
      <c r="L23" s="102" t="n"/>
      <c r="M23" s="40" t="n"/>
      <c r="N23" s="102" t="n"/>
      <c r="O23" s="102" t="n"/>
    </row>
    <row r="24">
      <c r="E24" s="100" t="inlineStr">
        <is>
          <t>Ground Rent</t>
        </is>
      </c>
      <c r="F24" s="101">
        <f>D21*2</f>
        <v/>
      </c>
      <c r="H24" s="43" t="n"/>
      <c r="L24" s="102" t="n"/>
      <c r="M24" s="40" t="n"/>
      <c r="N24" s="102" t="n"/>
      <c r="O24" s="102" t="n"/>
    </row>
    <row r="25" ht="29" customHeight="1">
      <c r="E25" s="100" t="inlineStr">
        <is>
          <t>Administrative Charge</t>
        </is>
      </c>
      <c r="F25" s="101">
        <f>D21*1</f>
        <v/>
      </c>
      <c r="H25" s="43" t="n"/>
      <c r="L25" s="102" t="n"/>
      <c r="M25" s="102" t="n"/>
      <c r="N25" s="40" t="n"/>
      <c r="O25" s="103" t="n"/>
    </row>
    <row r="26" ht="15" customHeight="1" thickBot="1">
      <c r="D26" s="104" t="n"/>
      <c r="E26" s="105" t="inlineStr">
        <is>
          <t>Access Charges</t>
        </is>
      </c>
      <c r="F26" s="106" t="n">
        <v>0</v>
      </c>
      <c r="K26" s="73">
        <f>SUM(K23:K25)</f>
        <v/>
      </c>
      <c r="L26" s="102" t="n"/>
      <c r="M26" s="40" t="n"/>
      <c r="N26" s="40" t="n"/>
      <c r="O26" s="102" t="n"/>
    </row>
    <row r="27">
      <c r="E27" s="73" t="n"/>
      <c r="F27" s="73" t="n"/>
    </row>
  </sheetData>
  <mergeCells count="1">
    <mergeCell ref="E22:F22"/>
  </mergeCells>
  <conditionalFormatting sqref="B20:B26">
    <cfRule type="duplicateValues" priority="18" dxfId="0"/>
  </conditionalFormatting>
  <conditionalFormatting sqref="D4">
    <cfRule type="duplicateValues" priority="21" dxfId="0"/>
  </conditionalFormatting>
  <conditionalFormatting sqref="B2:B19 B27:B1048576">
    <cfRule type="duplicateValues" priority="23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Santosh Pote</dc:creator>
  <dcterms:created xmlns:dcterms="http://purl.org/dc/terms/" xmlns:xsi="http://www.w3.org/2001/XMLSchema-instance" xsi:type="dcterms:W3CDTF">2025-10-09T05:26:14Z</dcterms:created>
  <dcterms:modified xmlns:dcterms="http://purl.org/dc/terms/" xmlns:xsi="http://www.w3.org/2001/XMLSchema-instance" xsi:type="dcterms:W3CDTF">2026-03-31T22:04:43Z</dcterms:modified>
  <cp:lastModifiedBy>Anupam Sunil Sharma</cp:lastModifiedBy>
  <cp:lastPrinted>2026-02-26T07:00:39Z</cp:lastPrinted>
</cp:coreProperties>
</file>