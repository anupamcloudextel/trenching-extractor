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enching-extractor-fresh\trenching-extractor-fresh\"/>
    </mc:Choice>
  </mc:AlternateContent>
  <xr:revisionPtr revIDLastSave="0" documentId="13_ncr:1_{22D966C9-9208-4A48-82FD-02DE071EB662}" xr6:coauthVersionLast="47" xr6:coauthVersionMax="47" xr10:uidLastSave="{00000000-0000-0000-0000-000000000000}"/>
  <bookViews>
    <workbookView xWindow="-110" yWindow="-110" windowWidth="19420" windowHeight="10300" tabRatio="582" activeTab="1" xr2:uid="{4249EB08-2D4A-4E66-8876-1FE50873D50F}"/>
  </bookViews>
  <sheets>
    <sheet name="Summary" sheetId="2" r:id="rId1"/>
    <sheet name="data-shee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K23" i="1" l="1"/>
  <c r="K26" i="1" s="1"/>
  <c r="F23" i="1" s="1"/>
  <c r="F24" i="1"/>
  <c r="O21" i="1" l="1"/>
  <c r="F25" i="1"/>
  <c r="F21" i="1" s="1"/>
  <c r="G21" i="1" s="1"/>
  <c r="O8" i="1" l="1"/>
  <c r="J21" i="1"/>
  <c r="K21" i="1" s="1"/>
  <c r="P21" i="1"/>
  <c r="B2" i="2" l="1"/>
  <c r="E8" i="1"/>
  <c r="A8" i="1"/>
  <c r="A4" i="2" s="1"/>
  <c r="D8" i="1"/>
  <c r="H8" i="1" s="1"/>
  <c r="I8" i="1" l="1"/>
  <c r="I14" i="1" l="1"/>
  <c r="H3" i="2" l="1"/>
  <c r="H7" i="2" s="1"/>
  <c r="B10" i="2"/>
  <c r="D10" i="2"/>
  <c r="A10" i="2"/>
  <c r="A9" i="2"/>
  <c r="J8" i="2"/>
  <c r="I8" i="2"/>
  <c r="A8" i="2"/>
  <c r="J7" i="2"/>
  <c r="I7" i="2"/>
  <c r="G7" i="2"/>
  <c r="E7" i="2"/>
  <c r="D7" i="2"/>
  <c r="C7" i="2"/>
  <c r="B7" i="2"/>
  <c r="A6" i="2"/>
  <c r="L3" i="2"/>
  <c r="K3" i="2"/>
  <c r="J3" i="2"/>
  <c r="I3" i="2"/>
  <c r="G3" i="2"/>
  <c r="E3" i="2"/>
  <c r="D3" i="2"/>
  <c r="C3" i="2"/>
  <c r="B3" i="2"/>
  <c r="A3" i="2"/>
  <c r="A2" i="2"/>
  <c r="E15" i="1"/>
  <c r="C9" i="2" s="1"/>
  <c r="D15" i="1"/>
  <c r="B9" i="2" s="1"/>
  <c r="H14" i="1"/>
  <c r="K4" i="2"/>
  <c r="E14" i="1"/>
  <c r="C8" i="2" s="1"/>
  <c r="B8" i="2"/>
  <c r="I15" i="1" l="1"/>
  <c r="B4" i="2"/>
  <c r="H15" i="1"/>
  <c r="E16" i="1"/>
  <c r="C10" i="2" s="1"/>
  <c r="C4" i="2"/>
  <c r="Q4" i="1"/>
  <c r="J16" i="1" s="1"/>
  <c r="F8" i="1"/>
  <c r="K16" i="1" l="1"/>
  <c r="F10" i="2" s="1"/>
  <c r="E10" i="2"/>
  <c r="P8" i="1"/>
  <c r="L4" i="2" s="1"/>
  <c r="G8" i="1" l="1"/>
  <c r="D4" i="2"/>
  <c r="G4" i="1"/>
  <c r="G14" i="1" s="1"/>
  <c r="J8" i="1" l="1"/>
  <c r="K8" i="1" s="1"/>
  <c r="G15" i="1"/>
  <c r="F14" i="1"/>
  <c r="J14" i="1"/>
  <c r="J4" i="1"/>
  <c r="M21" i="1" l="1"/>
  <c r="N21" i="1" s="1"/>
  <c r="M8" i="1"/>
  <c r="L4" i="1"/>
  <c r="F15" i="1"/>
  <c r="D9" i="2" s="1"/>
  <c r="D8" i="2"/>
  <c r="G4" i="2"/>
  <c r="E4" i="2"/>
  <c r="K14" i="1"/>
  <c r="G8" i="2" s="1"/>
  <c r="E8" i="2"/>
  <c r="J15" i="1"/>
  <c r="L21" i="1" l="1"/>
  <c r="N8" i="1"/>
  <c r="J4" i="2" s="1"/>
  <c r="L14" i="1"/>
  <c r="H8" i="2" s="1"/>
  <c r="L8" i="1"/>
  <c r="H4" i="2" s="1"/>
  <c r="L15" i="1"/>
  <c r="K15" i="1"/>
  <c r="E9" i="2"/>
  <c r="I4" i="2" l="1"/>
  <c r="H9" i="2"/>
  <c r="L16" i="1"/>
  <c r="G9" i="2"/>
  <c r="G10" i="2" s="1"/>
  <c r="M16" i="1"/>
  <c r="M15" i="1"/>
  <c r="N15" i="1" l="1"/>
  <c r="J9" i="2" s="1"/>
  <c r="I9" i="2"/>
  <c r="N16" i="1"/>
  <c r="J10" i="2" s="1"/>
  <c r="I10" i="2"/>
</calcChain>
</file>

<file path=xl/sharedStrings.xml><?xml version="1.0" encoding="utf-8"?>
<sst xmlns="http://schemas.openxmlformats.org/spreadsheetml/2006/main" count="76" uniqueCount="55">
  <si>
    <t>SR No.</t>
  </si>
  <si>
    <t>Route No.</t>
  </si>
  <si>
    <t>Type Modility</t>
  </si>
  <si>
    <t>PO Length</t>
  </si>
  <si>
    <t>Category Type</t>
  </si>
  <si>
    <t>Target Date of comletion</t>
  </si>
  <si>
    <t>Surveyed length</t>
  </si>
  <si>
    <t>Budgeted RI Cost W/O Deposit</t>
  </si>
  <si>
    <t>Budgeted Service/mtr Cost</t>
  </si>
  <si>
    <t>Budgeted Material/mtr Cost</t>
  </si>
  <si>
    <t>Total/mtr Cost</t>
  </si>
  <si>
    <t>Total Budgeted Cost for route</t>
  </si>
  <si>
    <t>Budget</t>
  </si>
  <si>
    <t>DN Details</t>
  </si>
  <si>
    <t>DN Length</t>
  </si>
  <si>
    <t>Budgeted RI/mtr Cost</t>
  </si>
  <si>
    <t>Actual RI/mtr Cost</t>
  </si>
  <si>
    <t>Actual Service/mtr Cost</t>
  </si>
  <si>
    <t>Actual Material/mtr Cost</t>
  </si>
  <si>
    <t>Total Actual Cost for route</t>
  </si>
  <si>
    <t>Subsection ID</t>
  </si>
  <si>
    <t>Deposit Amount</t>
  </si>
  <si>
    <t>Breakup</t>
  </si>
  <si>
    <t>RI Charges</t>
  </si>
  <si>
    <t>Access Charges</t>
  </si>
  <si>
    <t>Total Payble Amount to Authority</t>
  </si>
  <si>
    <t>Projection</t>
  </si>
  <si>
    <t>Balance Route</t>
  </si>
  <si>
    <t>Total Route</t>
  </si>
  <si>
    <t>Balance Budgeted RI Cost W/O Deposit</t>
  </si>
  <si>
    <t>PO Number</t>
  </si>
  <si>
    <t>PO Value W/O GST</t>
  </si>
  <si>
    <t>PO Value/mtr</t>
  </si>
  <si>
    <t>Comparison with PO</t>
  </si>
  <si>
    <t>Demand Note Details</t>
  </si>
  <si>
    <t>Difference Total</t>
  </si>
  <si>
    <t>Estimated Difference</t>
  </si>
  <si>
    <t>Difference/mtr Cost</t>
  </si>
  <si>
    <t>Difference/Cost</t>
  </si>
  <si>
    <t>Total DN Analysis</t>
  </si>
  <si>
    <t>Projected Material/mtr Cost</t>
  </si>
  <si>
    <t>Projected Service/mtr Cost</t>
  </si>
  <si>
    <t>Approval Required</t>
  </si>
  <si>
    <t>Total Cumulative DN Received</t>
  </si>
  <si>
    <t>Total Actual RI Including all Non-Refundable Charges (W/O Deposit)</t>
  </si>
  <si>
    <t>Total Payable Amount to Authority</t>
  </si>
  <si>
    <t>Pro-rated PO Value as per surveyed length</t>
  </si>
  <si>
    <t>Ground Rent</t>
  </si>
  <si>
    <t>Administrative Charge</t>
  </si>
  <si>
    <t>Particulars</t>
  </si>
  <si>
    <t>Length</t>
  </si>
  <si>
    <t>Rate</t>
  </si>
  <si>
    <t>DLP</t>
  </si>
  <si>
    <t>Total</t>
  </si>
  <si>
    <t>Total Actual RI Including All Non-Refundable Charges (Excluding Deposit)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</si>
</sst>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9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</font>
    <font>
      <sz val="9"/>
      <color rgb="FF000000"/>
      <name val="Aptos Narrow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left" vertical="top"/>
    </xf>
    <xf numFmtId="43" fontId="5" fillId="2" borderId="0" xfId="1" applyFont="1" applyFill="1" applyAlignment="1">
      <alignment horizontal="left" vertical="top" wrapText="1"/>
    </xf>
    <xf numFmtId="43" fontId="0" fillId="0" borderId="0" xfId="1" applyFont="1" applyAlignment="1">
      <alignment horizontal="left" vertical="top" wrapText="1"/>
    </xf>
    <xf numFmtId="43" fontId="5" fillId="0" borderId="1" xfId="1" applyFont="1" applyBorder="1" applyAlignment="1">
      <alignment horizontal="left" vertical="top" wrapText="1"/>
    </xf>
    <xf numFmtId="43" fontId="0" fillId="0" borderId="1" xfId="1" applyFont="1" applyBorder="1" applyAlignment="1">
      <alignment horizontal="left" vertical="top" wrapText="1"/>
    </xf>
    <xf numFmtId="43" fontId="1" fillId="0" borderId="0" xfId="1" applyFont="1" applyAlignment="1">
      <alignment horizontal="left" vertical="top" wrapText="1"/>
    </xf>
    <xf numFmtId="43" fontId="2" fillId="0" borderId="0" xfId="1" applyFont="1" applyAlignment="1">
      <alignment horizontal="left" vertical="top" wrapText="1"/>
    </xf>
    <xf numFmtId="43" fontId="5" fillId="3" borderId="1" xfId="1" applyFont="1" applyFill="1" applyBorder="1" applyAlignment="1">
      <alignment horizontal="left" vertical="top" wrapText="1"/>
    </xf>
    <xf numFmtId="43" fontId="0" fillId="0" borderId="2" xfId="1" applyFont="1" applyBorder="1" applyAlignment="1">
      <alignment horizontal="left" vertical="top" wrapText="1"/>
    </xf>
    <xf numFmtId="43" fontId="0" fillId="0" borderId="5" xfId="1" applyFont="1" applyBorder="1" applyAlignment="1">
      <alignment horizontal="left" vertical="top" wrapText="1"/>
    </xf>
    <xf numFmtId="43" fontId="0" fillId="0" borderId="6" xfId="1" applyFont="1" applyBorder="1" applyAlignment="1">
      <alignment horizontal="left" vertical="top" wrapText="1"/>
    </xf>
    <xf numFmtId="43" fontId="0" fillId="0" borderId="7" xfId="1" applyFont="1" applyBorder="1" applyAlignment="1">
      <alignment horizontal="left" vertical="top" wrapText="1"/>
    </xf>
    <xf numFmtId="43" fontId="0" fillId="0" borderId="8" xfId="1" applyFont="1" applyBorder="1" applyAlignment="1">
      <alignment horizontal="left" vertical="top" wrapText="1"/>
    </xf>
    <xf numFmtId="43" fontId="0" fillId="0" borderId="0" xfId="1" applyFont="1" applyBorder="1" applyAlignment="1">
      <alignment horizontal="left" vertical="top" wrapText="1"/>
    </xf>
    <xf numFmtId="43" fontId="5" fillId="2" borderId="1" xfId="1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43" fontId="5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3" fontId="5" fillId="0" borderId="1" xfId="0" applyNumberFormat="1" applyFont="1" applyBorder="1" applyAlignment="1">
      <alignment horizontal="left" vertical="top" wrapText="1"/>
    </xf>
    <xf numFmtId="43" fontId="0" fillId="0" borderId="1" xfId="0" applyNumberFormat="1" applyBorder="1" applyAlignment="1">
      <alignment horizontal="left" vertical="top" wrapText="1"/>
    </xf>
    <xf numFmtId="164" fontId="0" fillId="0" borderId="1" xfId="1" applyNumberFormat="1" applyFont="1" applyBorder="1" applyAlignment="1">
      <alignment horizontal="left" vertical="top" wrapText="1"/>
    </xf>
    <xf numFmtId="0" fontId="5" fillId="0" borderId="0" xfId="0" applyFont="1" applyAlignment="1">
      <alignment vertical="top"/>
    </xf>
    <xf numFmtId="43" fontId="0" fillId="3" borderId="1" xfId="1" applyFont="1" applyFill="1" applyBorder="1" applyAlignment="1">
      <alignment horizontal="left" vertical="top" wrapText="1"/>
    </xf>
    <xf numFmtId="43" fontId="0" fillId="4" borderId="1" xfId="1" applyFont="1" applyFill="1" applyBorder="1" applyAlignment="1">
      <alignment horizontal="left" vertical="top" wrapText="1"/>
    </xf>
    <xf numFmtId="43" fontId="0" fillId="4" borderId="0" xfId="1" applyFont="1" applyFill="1" applyAlignment="1">
      <alignment horizontal="left" vertical="top" wrapText="1"/>
    </xf>
    <xf numFmtId="43" fontId="6" fillId="5" borderId="0" xfId="1" applyFont="1" applyFill="1" applyAlignment="1">
      <alignment horizontal="left" vertical="top" wrapText="1"/>
    </xf>
    <xf numFmtId="43" fontId="6" fillId="5" borderId="1" xfId="1" applyFont="1" applyFill="1" applyBorder="1" applyAlignment="1">
      <alignment horizontal="left" vertical="top" wrapText="1"/>
    </xf>
    <xf numFmtId="43" fontId="7" fillId="5" borderId="0" xfId="1" applyFont="1" applyFill="1" applyAlignment="1">
      <alignment horizontal="left" vertical="top" wrapText="1"/>
    </xf>
    <xf numFmtId="43" fontId="7" fillId="5" borderId="1" xfId="1" applyFont="1" applyFill="1" applyBorder="1" applyAlignment="1">
      <alignment horizontal="left" vertical="top" wrapText="1"/>
    </xf>
    <xf numFmtId="43" fontId="8" fillId="6" borderId="1" xfId="1" applyFont="1" applyFill="1" applyBorder="1" applyAlignment="1">
      <alignment horizontal="left" vertical="top" wrapText="1"/>
    </xf>
    <xf numFmtId="43" fontId="0" fillId="6" borderId="0" xfId="1" applyFont="1" applyFill="1" applyAlignment="1">
      <alignment horizontal="left" vertical="top" wrapText="1"/>
    </xf>
    <xf numFmtId="43" fontId="7" fillId="6" borderId="0" xfId="1" applyFont="1" applyFill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3" borderId="1" xfId="1" applyNumberFormat="1" applyFont="1" applyFill="1" applyBorder="1" applyAlignment="1">
      <alignment horizontal="left" vertical="top" wrapText="1"/>
    </xf>
    <xf numFmtId="17" fontId="0" fillId="3" borderId="1" xfId="1" applyNumberFormat="1" applyFont="1" applyFill="1" applyBorder="1" applyAlignment="1">
      <alignment horizontal="left" vertical="top" wrapText="1"/>
    </xf>
    <xf numFmtId="43" fontId="5" fillId="0" borderId="0" xfId="1" applyFont="1" applyFill="1" applyBorder="1" applyAlignment="1">
      <alignment horizontal="left" vertical="top"/>
    </xf>
    <xf numFmtId="43" fontId="5" fillId="0" borderId="0" xfId="1" applyFont="1" applyFill="1" applyBorder="1" applyAlignment="1">
      <alignment horizontal="left"/>
    </xf>
    <xf numFmtId="43" fontId="0" fillId="0" borderId="0" xfId="1" applyFont="1" applyFill="1" applyBorder="1" applyAlignment="1">
      <alignment horizontal="left" vertical="top"/>
    </xf>
    <xf numFmtId="0" fontId="0" fillId="0" borderId="0" xfId="1" applyNumberFormat="1" applyFont="1" applyFill="1" applyBorder="1" applyAlignment="1">
      <alignment horizontal="left" vertical="top"/>
    </xf>
    <xf numFmtId="43" fontId="0" fillId="0" borderId="0" xfId="1" applyFont="1" applyFill="1" applyBorder="1" applyAlignment="1">
      <alignment horizontal="left"/>
    </xf>
    <xf numFmtId="0" fontId="3" fillId="0" borderId="1" xfId="1" applyNumberFormat="1" applyFont="1" applyBorder="1" applyAlignment="1">
      <alignment horizontal="right" vertical="top" wrapText="1"/>
    </xf>
    <xf numFmtId="0" fontId="0" fillId="0" borderId="0" xfId="1" applyNumberFormat="1" applyFont="1" applyAlignment="1">
      <alignment horizontal="left" vertical="top" wrapText="1"/>
    </xf>
    <xf numFmtId="164" fontId="0" fillId="0" borderId="0" xfId="0" applyNumberFormat="1" applyAlignment="1">
      <alignment horizontal="left" vertical="top"/>
    </xf>
    <xf numFmtId="164" fontId="8" fillId="0" borderId="1" xfId="1" applyNumberFormat="1" applyFont="1" applyBorder="1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0" fontId="0" fillId="4" borderId="1" xfId="1" applyNumberFormat="1" applyFont="1" applyFill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43" fontId="5" fillId="2" borderId="0" xfId="0" applyNumberFormat="1" applyFont="1" applyFill="1" applyAlignment="1">
      <alignment horizontal="left" vertical="top" wrapText="1"/>
    </xf>
    <xf numFmtId="43" fontId="0" fillId="0" borderId="0" xfId="0" applyNumberFormat="1" applyAlignment="1">
      <alignment horizontal="left" vertical="top"/>
    </xf>
    <xf numFmtId="164" fontId="0" fillId="6" borderId="1" xfId="1" applyNumberFormat="1" applyFont="1" applyFill="1" applyBorder="1" applyAlignment="1">
      <alignment horizontal="left" vertical="top" wrapText="1"/>
    </xf>
    <xf numFmtId="43" fontId="4" fillId="3" borderId="1" xfId="1" applyFont="1" applyFill="1" applyBorder="1" applyAlignment="1">
      <alignment horizontal="left" vertical="top" wrapText="1"/>
    </xf>
    <xf numFmtId="43" fontId="3" fillId="3" borderId="1" xfId="1" applyFont="1" applyFill="1" applyBorder="1" applyAlignment="1">
      <alignment horizontal="left" vertical="top" wrapText="1"/>
    </xf>
    <xf numFmtId="164" fontId="4" fillId="6" borderId="1" xfId="1" applyNumberFormat="1" applyFont="1" applyFill="1" applyBorder="1" applyAlignment="1">
      <alignment horizontal="left" vertical="top" wrapText="1"/>
    </xf>
    <xf numFmtId="164" fontId="0" fillId="3" borderId="1" xfId="1" applyNumberFormat="1" applyFont="1" applyFill="1" applyBorder="1" applyAlignment="1">
      <alignment horizontal="left" vertical="top" wrapText="1"/>
    </xf>
    <xf numFmtId="165" fontId="4" fillId="3" borderId="1" xfId="1" applyNumberFormat="1" applyFont="1" applyFill="1" applyBorder="1" applyAlignment="1">
      <alignment vertical="top" wrapText="1"/>
    </xf>
    <xf numFmtId="0" fontId="3" fillId="3" borderId="1" xfId="1" applyNumberFormat="1" applyFont="1" applyFill="1" applyBorder="1" applyAlignment="1">
      <alignment horizontal="right" vertical="top" wrapText="1"/>
    </xf>
    <xf numFmtId="43" fontId="5" fillId="0" borderId="0" xfId="1" applyFont="1" applyAlignment="1">
      <alignment horizontal="left" vertical="top" wrapText="1"/>
    </xf>
    <xf numFmtId="43" fontId="7" fillId="5" borderId="0" xfId="1" applyFont="1" applyFill="1" applyBorder="1" applyAlignment="1">
      <alignment horizontal="left" vertical="top" wrapText="1"/>
    </xf>
    <xf numFmtId="43" fontId="5" fillId="0" borderId="3" xfId="1" applyFont="1" applyBorder="1" applyAlignment="1">
      <alignment horizontal="left" vertical="top" wrapText="1"/>
    </xf>
    <xf numFmtId="43" fontId="5" fillId="0" borderId="4" xfId="1" applyFont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4D28-7616-46A1-8ADA-D9FF6EE5ED86}">
  <dimension ref="A1:L15"/>
  <sheetViews>
    <sheetView showGridLines="0" zoomScale="85" zoomScaleNormal="85" workbookViewId="0">
      <selection activeCell="G10" sqref="G10"/>
    </sheetView>
  </sheetViews>
  <sheetFormatPr defaultColWidth="9.08984375" defaultRowHeight="14.5" x14ac:dyDescent="0.35"/>
  <cols>
    <col min="1" max="1" width="21.54296875" style="1" customWidth="1"/>
    <col min="2" max="2" width="14.453125" style="1" customWidth="1"/>
    <col min="3" max="3" width="14" style="1" bestFit="1" customWidth="1"/>
    <col min="4" max="4" width="14.6328125" style="1" bestFit="1" customWidth="1"/>
    <col min="5" max="5" width="12.54296875" style="1" bestFit="1" customWidth="1"/>
    <col min="6" max="6" width="14.26953125" style="1" bestFit="1" customWidth="1"/>
    <col min="7" max="7" width="14.36328125" style="1" customWidth="1"/>
    <col min="8" max="8" width="13" style="1" bestFit="1" customWidth="1"/>
    <col min="9" max="9" width="14.453125" style="1" bestFit="1" customWidth="1"/>
    <col min="10" max="10" width="17" style="1" bestFit="1" customWidth="1"/>
    <col min="11" max="11" width="13.81640625" style="1" bestFit="1" customWidth="1"/>
    <col min="12" max="12" width="17.453125" style="1" customWidth="1"/>
    <col min="13" max="13" width="15.81640625" style="16" bestFit="1" customWidth="1"/>
    <col min="14" max="16384" width="9.08984375" style="16"/>
  </cols>
  <sheetData>
    <row r="1" spans="1:12" x14ac:dyDescent="0.35">
      <c r="F1" s="34"/>
    </row>
    <row r="2" spans="1:12" x14ac:dyDescent="0.35">
      <c r="A2" s="17" t="str">
        <f>'data-sheet'!A6</f>
        <v>Total DN Analysis</v>
      </c>
      <c r="B2" s="49">
        <f>'data-sheet'!N4</f>
        <v>0</v>
      </c>
      <c r="C2" s="18"/>
      <c r="D2" s="18"/>
      <c r="E2" s="18"/>
      <c r="F2" s="34"/>
      <c r="G2" s="18"/>
      <c r="H2" s="18"/>
      <c r="I2" s="18"/>
      <c r="J2" s="18"/>
      <c r="K2" s="18"/>
      <c r="L2" s="18"/>
    </row>
    <row r="3" spans="1:12" ht="72.5" x14ac:dyDescent="0.35">
      <c r="A3" s="19" t="str">
        <f>'data-sheet'!A7</f>
        <v>Total Cumulative DN Received</v>
      </c>
      <c r="B3" s="19" t="str">
        <f>'data-sheet'!D7</f>
        <v>DN Length</v>
      </c>
      <c r="C3" s="19" t="str">
        <f>'data-sheet'!E7</f>
        <v>Surveyed length</v>
      </c>
      <c r="D3" s="19" t="str">
        <f>'data-sheet'!F7</f>
        <v>Total Actual RI Including All Non-Refundable Charges (Excluding Deposit)</v>
      </c>
      <c r="E3" s="19" t="str">
        <f>'data-sheet'!J7</f>
        <v>Total/mtr Cost</v>
      </c>
      <c r="F3" s="34"/>
      <c r="G3" s="19" t="str">
        <f>'data-sheet'!K7</f>
        <v>Total Actual Cost for route</v>
      </c>
      <c r="H3" s="19" t="str">
        <f>'data-sheet'!L3</f>
        <v>Total Budgeted Cost for route</v>
      </c>
      <c r="I3" s="19" t="str">
        <f>'data-sheet'!M7</f>
        <v>Difference Total</v>
      </c>
      <c r="J3" s="19" t="str">
        <f>'data-sheet'!N7</f>
        <v>Difference/mtr Cost</v>
      </c>
      <c r="K3" s="19" t="str">
        <f>'data-sheet'!O7</f>
        <v>Deposit Amount</v>
      </c>
      <c r="L3" s="19" t="str">
        <f>'data-sheet'!P7</f>
        <v>Total Payable Amount to Authority</v>
      </c>
    </row>
    <row r="4" spans="1:12" x14ac:dyDescent="0.35">
      <c r="A4" s="48" t="e">
        <f>'data-sheet'!A8</f>
        <v>#REF!</v>
      </c>
      <c r="B4" s="21" t="e">
        <f>'data-sheet'!D8</f>
        <v>#REF!</v>
      </c>
      <c r="C4" s="21" t="e">
        <f>'data-sheet'!E8</f>
        <v>#REF!</v>
      </c>
      <c r="D4" s="21" t="e">
        <f>'data-sheet'!F8</f>
        <v>#REF!</v>
      </c>
      <c r="E4" s="21" t="e">
        <f>'data-sheet'!J8</f>
        <v>#REF!</v>
      </c>
      <c r="F4" s="34"/>
      <c r="G4" s="21" t="e">
        <f>'data-sheet'!K8</f>
        <v>#REF!</v>
      </c>
      <c r="H4" s="21" t="e">
        <f>'data-sheet'!L8</f>
        <v>#DIV/0!</v>
      </c>
      <c r="I4" s="21" t="e">
        <f>'data-sheet'!M8</f>
        <v>#DIV/0!</v>
      </c>
      <c r="J4" s="21" t="e">
        <f>'data-sheet'!N8</f>
        <v>#DIV/0!</v>
      </c>
      <c r="K4" s="21" t="e">
        <f>'data-sheet'!O8</f>
        <v>#REF!</v>
      </c>
      <c r="L4" s="51" t="e">
        <f>'data-sheet'!P8</f>
        <v>#REF!</v>
      </c>
    </row>
    <row r="5" spans="1:12" x14ac:dyDescent="0.35">
      <c r="A5" s="18"/>
      <c r="B5" s="18"/>
      <c r="C5" s="46"/>
      <c r="D5" s="18"/>
      <c r="E5" s="18"/>
      <c r="F5" s="18"/>
      <c r="G5" s="18"/>
      <c r="H5" s="18"/>
      <c r="I5" s="18"/>
      <c r="J5" s="18"/>
      <c r="K5" s="18"/>
      <c r="L5" s="18" t="s">
        <v>42</v>
      </c>
    </row>
    <row r="6" spans="1:12" x14ac:dyDescent="0.35">
      <c r="A6" s="22" t="str">
        <f>'data-sheet'!A11</f>
        <v>Projection</v>
      </c>
      <c r="B6" s="16"/>
      <c r="C6" s="16"/>
      <c r="D6" s="16"/>
      <c r="E6" s="16"/>
      <c r="F6" s="16"/>
      <c r="G6" s="16"/>
      <c r="H6" s="16"/>
      <c r="I6" s="16"/>
      <c r="J6" s="16"/>
      <c r="K6" s="18"/>
      <c r="L6" s="18"/>
    </row>
    <row r="7" spans="1:12" s="22" customFormat="1" ht="58" x14ac:dyDescent="0.35">
      <c r="A7" s="33"/>
      <c r="B7" s="19" t="str">
        <f>'data-sheet'!D12</f>
        <v>PO Length</v>
      </c>
      <c r="C7" s="19" t="str">
        <f>'data-sheet'!E12</f>
        <v>Surveyed length</v>
      </c>
      <c r="D7" s="19" t="str">
        <f>'data-sheet'!F12</f>
        <v>Balance Budgeted RI Cost W/O Deposit</v>
      </c>
      <c r="E7" s="19" t="str">
        <f>'data-sheet'!J12</f>
        <v>Total/mtr Cost</v>
      </c>
      <c r="F7" s="19" t="s">
        <v>46</v>
      </c>
      <c r="G7" s="19" t="str">
        <f>'data-sheet'!K12</f>
        <v>Total Actual Cost for route</v>
      </c>
      <c r="H7" s="4" t="str">
        <f>H3</f>
        <v>Total Budgeted Cost for route</v>
      </c>
      <c r="I7" s="19" t="str">
        <f>'data-sheet'!M12</f>
        <v>Estimated Difference</v>
      </c>
      <c r="J7" s="19" t="str">
        <f>'data-sheet'!N12</f>
        <v>Difference/mtr Cost</v>
      </c>
      <c r="K7" s="34"/>
      <c r="L7" s="34"/>
    </row>
    <row r="8" spans="1:12" x14ac:dyDescent="0.35">
      <c r="A8" s="20" t="str">
        <f>'data-sheet'!A14</f>
        <v>Balance Route</v>
      </c>
      <c r="B8" s="21">
        <f>'data-sheet'!D14</f>
        <v>0</v>
      </c>
      <c r="C8" s="21" t="e">
        <f>'data-sheet'!E14</f>
        <v>#REF!</v>
      </c>
      <c r="D8" s="21" t="e">
        <f>'data-sheet'!F14</f>
        <v>#DIV/0!</v>
      </c>
      <c r="E8" s="21" t="e">
        <f>'data-sheet'!J14</f>
        <v>#DIV/0!</v>
      </c>
      <c r="F8" s="21"/>
      <c r="G8" s="21" t="e">
        <f>'data-sheet'!K14</f>
        <v>#DIV/0!</v>
      </c>
      <c r="H8" s="21" t="e">
        <f>'data-sheet'!L14</f>
        <v>#DIV/0!</v>
      </c>
      <c r="I8" s="21">
        <f>'data-sheet'!M14</f>
        <v>0</v>
      </c>
      <c r="J8" s="21">
        <f>'data-sheet'!N14</f>
        <v>0</v>
      </c>
      <c r="K8" s="18"/>
      <c r="L8" s="46"/>
    </row>
    <row r="9" spans="1:12" x14ac:dyDescent="0.35">
      <c r="A9" s="20" t="str">
        <f>'data-sheet'!A15</f>
        <v>Total Route</v>
      </c>
      <c r="B9" s="21">
        <f>'data-sheet'!D15</f>
        <v>0</v>
      </c>
      <c r="C9" s="21">
        <f>'data-sheet'!E15</f>
        <v>0</v>
      </c>
      <c r="D9" s="21" t="e">
        <f>'data-sheet'!F15</f>
        <v>#REF!</v>
      </c>
      <c r="E9" s="21" t="e">
        <f>'data-sheet'!J15</f>
        <v>#REF!</v>
      </c>
      <c r="F9" s="21"/>
      <c r="G9" s="21" t="e">
        <f>'data-sheet'!K15</f>
        <v>#REF!</v>
      </c>
      <c r="H9" s="21" t="e">
        <f>'data-sheet'!L15</f>
        <v>#DIV/0!</v>
      </c>
      <c r="I9" s="21" t="e">
        <f>'data-sheet'!M15</f>
        <v>#DIV/0!</v>
      </c>
      <c r="J9" s="21" t="e">
        <f>'data-sheet'!N15</f>
        <v>#DIV/0!</v>
      </c>
      <c r="K9" s="18"/>
      <c r="L9" s="18"/>
    </row>
    <row r="10" spans="1:12" x14ac:dyDescent="0.35">
      <c r="A10" s="20" t="str">
        <f>'data-sheet'!A16</f>
        <v>Comparison with PO</v>
      </c>
      <c r="B10" s="21">
        <f>'data-sheet'!D16</f>
        <v>0</v>
      </c>
      <c r="C10" s="21">
        <f>'data-sheet'!E16</f>
        <v>0</v>
      </c>
      <c r="D10" s="21">
        <f>'data-sheet'!F16</f>
        <v>0</v>
      </c>
      <c r="E10" s="21" t="e">
        <f>'data-sheet'!J16</f>
        <v>#DIV/0!</v>
      </c>
      <c r="F10" s="21" t="e">
        <f>'data-sheet'!K16</f>
        <v>#DIV/0!</v>
      </c>
      <c r="G10" s="21" t="e">
        <f>G9</f>
        <v>#REF!</v>
      </c>
      <c r="H10" s="21"/>
      <c r="I10" s="21" t="e">
        <f>'data-sheet'!M16</f>
        <v>#DIV/0!</v>
      </c>
      <c r="J10" s="45" t="e">
        <f>'data-sheet'!N16</f>
        <v>#DIV/0!</v>
      </c>
      <c r="K10" s="18"/>
      <c r="L10" s="18"/>
    </row>
    <row r="12" spans="1:12" x14ac:dyDescent="0.35">
      <c r="C12" s="44"/>
    </row>
    <row r="15" spans="1:12" x14ac:dyDescent="0.35">
      <c r="A15" s="50"/>
      <c r="B15" s="50"/>
      <c r="C15" s="5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F80B-81DA-4E8F-90DA-22153A69BF9D}">
  <dimension ref="A2:Q27"/>
  <sheetViews>
    <sheetView showGridLines="0" tabSelected="1" zoomScale="63" zoomScaleNormal="63" workbookViewId="0">
      <pane ySplit="16" topLeftCell="A17" activePane="bottomLeft" state="frozen"/>
      <selection pane="bottomLeft" activeCell="H26" sqref="H26"/>
    </sheetView>
  </sheetViews>
  <sheetFormatPr defaultColWidth="8.7265625" defaultRowHeight="14.5" x14ac:dyDescent="0.35"/>
  <cols>
    <col min="1" max="1" width="18.08984375" style="3" bestFit="1" customWidth="1"/>
    <col min="2" max="2" width="25.54296875" style="3" customWidth="1"/>
    <col min="3" max="3" width="12.08984375" style="3" bestFit="1" customWidth="1"/>
    <col min="4" max="4" width="11" style="3" customWidth="1"/>
    <col min="5" max="5" width="17.54296875" style="3" customWidth="1"/>
    <col min="6" max="6" width="17" style="3" bestFit="1" customWidth="1"/>
    <col min="7" max="7" width="18.54296875" style="3" customWidth="1"/>
    <col min="8" max="8" width="16" style="3" customWidth="1"/>
    <col min="9" max="9" width="15.81640625" style="3" customWidth="1"/>
    <col min="10" max="10" width="13.1796875" style="3" bestFit="1" customWidth="1"/>
    <col min="11" max="11" width="18.1796875" style="3" customWidth="1"/>
    <col min="12" max="12" width="20.90625" style="3" bestFit="1" customWidth="1"/>
    <col min="13" max="13" width="14.81640625" style="3" bestFit="1" customWidth="1"/>
    <col min="14" max="14" width="17.36328125" style="3" bestFit="1" customWidth="1"/>
    <col min="15" max="15" width="14" style="3" bestFit="1" customWidth="1"/>
    <col min="16" max="16" width="20.6328125" style="3" customWidth="1"/>
    <col min="17" max="17" width="11.7265625" style="3" bestFit="1" customWidth="1"/>
    <col min="18" max="16384" width="8.7265625" style="31"/>
  </cols>
  <sheetData>
    <row r="2" spans="1:17" x14ac:dyDescent="0.35">
      <c r="A2" s="15" t="s">
        <v>12</v>
      </c>
    </row>
    <row r="3" spans="1:17" s="32" customFormat="1" ht="29" x14ac:dyDescent="0.35">
      <c r="A3" s="27" t="s">
        <v>0</v>
      </c>
      <c r="B3" s="27" t="s">
        <v>1</v>
      </c>
      <c r="C3" s="27" t="s">
        <v>2</v>
      </c>
      <c r="D3" s="27" t="s">
        <v>3</v>
      </c>
      <c r="E3" s="27" t="s">
        <v>6</v>
      </c>
      <c r="F3" s="27" t="s">
        <v>7</v>
      </c>
      <c r="G3" s="27" t="s">
        <v>15</v>
      </c>
      <c r="H3" s="27" t="s">
        <v>8</v>
      </c>
      <c r="I3" s="27" t="s">
        <v>9</v>
      </c>
      <c r="J3" s="27" t="s">
        <v>10</v>
      </c>
      <c r="K3" s="27"/>
      <c r="L3" s="27" t="s">
        <v>11</v>
      </c>
      <c r="M3" s="27" t="s">
        <v>5</v>
      </c>
      <c r="N3" s="27" t="s">
        <v>4</v>
      </c>
      <c r="O3" s="27" t="s">
        <v>30</v>
      </c>
      <c r="P3" s="27" t="s">
        <v>31</v>
      </c>
      <c r="Q3" s="27" t="s">
        <v>32</v>
      </c>
    </row>
    <row r="4" spans="1:17" x14ac:dyDescent="0.35">
      <c r="A4" s="52">
        <v>1</v>
      </c>
      <c r="B4" s="53"/>
      <c r="C4" s="53"/>
      <c r="D4" s="57"/>
      <c r="E4" s="56"/>
      <c r="F4" s="52"/>
      <c r="G4" s="54" t="e">
        <f>F4/E4</f>
        <v>#DIV/0!</v>
      </c>
      <c r="H4" s="55"/>
      <c r="I4" s="23"/>
      <c r="J4" s="21" t="e">
        <f>G4+H4+I4</f>
        <v>#DIV/0!</v>
      </c>
      <c r="K4" s="5"/>
      <c r="L4" s="5" t="e">
        <f>J4*E4</f>
        <v>#DIV/0!</v>
      </c>
      <c r="M4" s="36"/>
      <c r="N4" s="23"/>
      <c r="O4" s="35"/>
      <c r="P4" s="23"/>
      <c r="Q4" s="5" t="e">
        <f>P4/D4</f>
        <v>#DIV/0!</v>
      </c>
    </row>
    <row r="5" spans="1:17" x14ac:dyDescent="0.35">
      <c r="B5" s="6"/>
      <c r="C5" s="7"/>
    </row>
    <row r="6" spans="1:17" x14ac:dyDescent="0.35">
      <c r="A6" s="3" t="s">
        <v>39</v>
      </c>
      <c r="E6" s="14"/>
      <c r="F6" s="14"/>
    </row>
    <row r="7" spans="1:17" s="32" customFormat="1" ht="87" x14ac:dyDescent="0.35">
      <c r="A7" s="27" t="s">
        <v>43</v>
      </c>
      <c r="B7" s="27"/>
      <c r="C7" s="27"/>
      <c r="D7" s="27" t="s">
        <v>14</v>
      </c>
      <c r="E7" s="27" t="s">
        <v>6</v>
      </c>
      <c r="F7" s="27" t="s">
        <v>54</v>
      </c>
      <c r="G7" s="27" t="s">
        <v>16</v>
      </c>
      <c r="H7" s="27" t="s">
        <v>17</v>
      </c>
      <c r="I7" s="27" t="s">
        <v>18</v>
      </c>
      <c r="J7" s="27" t="s">
        <v>10</v>
      </c>
      <c r="K7" s="27" t="s">
        <v>19</v>
      </c>
      <c r="L7" s="27" t="s">
        <v>11</v>
      </c>
      <c r="M7" s="27" t="s">
        <v>35</v>
      </c>
      <c r="N7" s="27" t="s">
        <v>37</v>
      </c>
      <c r="O7" s="27" t="s">
        <v>21</v>
      </c>
      <c r="P7" s="27" t="s">
        <v>45</v>
      </c>
      <c r="Q7" s="28"/>
    </row>
    <row r="8" spans="1:17" x14ac:dyDescent="0.35">
      <c r="A8" s="47" t="e">
        <f>SUBTOTAL(3,#REF!,B21,#REF!,#REF!,#REF!,#REF!,#REF!,#REF!,#REF!,#REF!,#REF!,#REF!,#REF!,#REF!,#REF!,#REF!,#REF!,#REF!,#REF!)</f>
        <v>#REF!</v>
      </c>
      <c r="B8" s="24"/>
      <c r="C8" s="24"/>
      <c r="D8" s="24" t="e">
        <f>SUM(D21,#REF!,#REF!,#REF!,#REF!,#REF!,#REF!,#REF!,#REF!,#REF!,#REF!,#REF!,#REF!,#REF!,#REF!,#REF!,#REF!,#REF!,#REF!)</f>
        <v>#REF!</v>
      </c>
      <c r="E8" s="24" t="e">
        <f>SUM(E21,#REF!,#REF!,#REF!,#REF!,#REF!,#REF!,#REF!,#REF!,#REF!,#REF!,#REF!,#REF!,#REF!,#REF!,#REF!,#REF!,#REF!,#REF!)</f>
        <v>#REF!</v>
      </c>
      <c r="F8" s="24" t="e">
        <f>SUM(F21,#REF!,#REF!,#REF!,#REF!,#REF!,#REF!,#REF!,#REF!,#REF!,#REF!,#REF!,#REF!,#REF!,#REF!,#REF!,#REF!,#REF!,#REF!)</f>
        <v>#REF!</v>
      </c>
      <c r="G8" s="24" t="e">
        <f>F8/D8</f>
        <v>#REF!</v>
      </c>
      <c r="H8" s="24" t="e">
        <f>(H21*$D21+#REF!*#REF!+#REF!*#REF!+#REF!*#REF!+#REF!*#REF!+#REF!*#REF!+#REF!*#REF!+#REF!*#REF!+#REF!*#REF!+#REF!*#REF!+#REF!*#REF!+#REF!*#REF!+#REF!*#REF!+#REF!*#REF!+#REF!*#REF!+#REF!*#REF!+#REF!*#REF!+#REF!*#REF!)/$D8</f>
        <v>#REF!</v>
      </c>
      <c r="I8" s="24" t="e">
        <f>(I21*$D21+#REF!*#REF!+#REF!*#REF!+#REF!*#REF!+#REF!*#REF!+#REF!*#REF!+#REF!*#REF!+#REF!*#REF!+#REF!*#REF!+#REF!*#REF!+#REF!*#REF!+#REF!*#REF!+#REF!*#REF!+#REF!*#REF!+#REF!*#REF!+#REF!*#REF!+#REF!*#REF!+#REF!*#REF!+#REF!*#REF!)/$D8</f>
        <v>#REF!</v>
      </c>
      <c r="J8" s="24" t="e">
        <f>G8+H8+I8</f>
        <v>#REF!</v>
      </c>
      <c r="K8" s="24" t="e">
        <f>J8*D8</f>
        <v>#REF!</v>
      </c>
      <c r="L8" s="24" t="e">
        <f>L$4/E$4*D8</f>
        <v>#DIV/0!</v>
      </c>
      <c r="M8" s="24" t="e">
        <f>(J$4*D8)-K8</f>
        <v>#DIV/0!</v>
      </c>
      <c r="N8" s="24" t="e">
        <f>M8/D8</f>
        <v>#DIV/0!</v>
      </c>
      <c r="O8" s="24" t="e">
        <f>SUM(O21+#REF!+#REF!+#REF!+#REF!+#REF!+#REF!+#REF!+#REF!+#REF!+#REF!+#REF!+#REF!+#REF!+#REF!+#REF!+#REF!+#REF!)</f>
        <v>#REF!</v>
      </c>
      <c r="P8" s="24" t="e">
        <f>F8+O8</f>
        <v>#REF!</v>
      </c>
      <c r="Q8" s="25"/>
    </row>
    <row r="9" spans="1:17" x14ac:dyDescent="0.35">
      <c r="E9" s="14"/>
      <c r="F9" s="14"/>
    </row>
    <row r="10" spans="1:17" x14ac:dyDescent="0.35">
      <c r="E10" s="14"/>
      <c r="F10" s="14"/>
    </row>
    <row r="11" spans="1:17" x14ac:dyDescent="0.35">
      <c r="A11" s="15" t="s">
        <v>26</v>
      </c>
    </row>
    <row r="12" spans="1:17" s="32" customFormat="1" ht="43.5" x14ac:dyDescent="0.35">
      <c r="A12" s="26"/>
      <c r="B12" s="27"/>
      <c r="C12" s="27"/>
      <c r="D12" s="27" t="s">
        <v>3</v>
      </c>
      <c r="E12" s="27" t="s">
        <v>6</v>
      </c>
      <c r="F12" s="27" t="s">
        <v>29</v>
      </c>
      <c r="G12" s="27" t="s">
        <v>15</v>
      </c>
      <c r="H12" s="27" t="s">
        <v>41</v>
      </c>
      <c r="I12" s="27" t="s">
        <v>40</v>
      </c>
      <c r="J12" s="27" t="s">
        <v>10</v>
      </c>
      <c r="K12" s="27" t="s">
        <v>19</v>
      </c>
      <c r="L12" s="27" t="s">
        <v>11</v>
      </c>
      <c r="M12" s="27" t="s">
        <v>36</v>
      </c>
      <c r="N12" s="27" t="s">
        <v>37</v>
      </c>
      <c r="O12" s="28"/>
      <c r="P12" s="28"/>
      <c r="Q12" s="28"/>
    </row>
    <row r="13" spans="1:17" s="32" customFormat="1" x14ac:dyDescent="0.3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8"/>
      <c r="P13" s="28"/>
      <c r="Q13" s="28"/>
    </row>
    <row r="14" spans="1:17" s="32" customFormat="1" x14ac:dyDescent="0.35">
      <c r="A14" s="29" t="s">
        <v>27</v>
      </c>
      <c r="B14" s="29"/>
      <c r="C14" s="29"/>
      <c r="D14" s="29"/>
      <c r="E14" s="29" t="e">
        <f>E4-E8</f>
        <v>#REF!</v>
      </c>
      <c r="F14" s="29" t="e">
        <f>G14*E14</f>
        <v>#DIV/0!</v>
      </c>
      <c r="G14" s="29" t="e">
        <f>G4</f>
        <v>#DIV/0!</v>
      </c>
      <c r="H14" s="30">
        <f>H4</f>
        <v>0</v>
      </c>
      <c r="I14" s="30">
        <f>I4</f>
        <v>0</v>
      </c>
      <c r="J14" s="29" t="e">
        <f>G14+H14+I14</f>
        <v>#DIV/0!</v>
      </c>
      <c r="K14" s="29" t="e">
        <f>J14*E14</f>
        <v>#DIV/0!</v>
      </c>
      <c r="L14" s="29" t="e">
        <f>L$4/E$4*E14</f>
        <v>#DIV/0!</v>
      </c>
      <c r="M14" s="29"/>
      <c r="N14" s="29"/>
      <c r="O14" s="28"/>
      <c r="P14" s="28"/>
      <c r="Q14" s="28"/>
    </row>
    <row r="15" spans="1:17" s="32" customFormat="1" x14ac:dyDescent="0.35">
      <c r="A15" s="29" t="s">
        <v>28</v>
      </c>
      <c r="B15" s="29"/>
      <c r="C15" s="29"/>
      <c r="D15" s="29">
        <f>D4</f>
        <v>0</v>
      </c>
      <c r="E15" s="29">
        <f>E4</f>
        <v>0</v>
      </c>
      <c r="F15" s="29" t="e">
        <f>F8+F14</f>
        <v>#REF!</v>
      </c>
      <c r="G15" s="29" t="e">
        <f>(G8*$E8+G14*$E14)/$E15</f>
        <v>#REF!</v>
      </c>
      <c r="H15" s="29" t="e">
        <f>(H8*$E8+H14*$E14)/$E15</f>
        <v>#REF!</v>
      </c>
      <c r="I15" s="29" t="e">
        <f>(I8*$E8+I14*$E14)/$E15</f>
        <v>#REF!</v>
      </c>
      <c r="J15" s="29" t="e">
        <f>SUM(G15:I15)</f>
        <v>#REF!</v>
      </c>
      <c r="K15" s="29" t="e">
        <f>J15*E15</f>
        <v>#REF!</v>
      </c>
      <c r="L15" s="29" t="e">
        <f>L$4/E$4*E15</f>
        <v>#DIV/0!</v>
      </c>
      <c r="M15" s="29" t="e">
        <f>L4-K15</f>
        <v>#DIV/0!</v>
      </c>
      <c r="N15" s="29" t="e">
        <f>M15/E15</f>
        <v>#DIV/0!</v>
      </c>
      <c r="O15" s="28"/>
      <c r="P15" s="28"/>
      <c r="Q15" s="28"/>
    </row>
    <row r="16" spans="1:17" s="32" customFormat="1" x14ac:dyDescent="0.35">
      <c r="A16" s="29" t="s">
        <v>33</v>
      </c>
      <c r="B16" s="29"/>
      <c r="C16" s="29"/>
      <c r="D16" s="29"/>
      <c r="E16" s="29">
        <f>E15</f>
        <v>0</v>
      </c>
      <c r="F16" s="29"/>
      <c r="G16" s="29"/>
      <c r="H16" s="29"/>
      <c r="I16" s="29"/>
      <c r="J16" s="29" t="e">
        <f>Q4</f>
        <v>#DIV/0!</v>
      </c>
      <c r="K16" s="29" t="e">
        <f>J16*E16</f>
        <v>#DIV/0!</v>
      </c>
      <c r="L16" s="29" t="e">
        <f>L15</f>
        <v>#DIV/0!</v>
      </c>
      <c r="M16" s="29" t="e">
        <f>K16-K15</f>
        <v>#DIV/0!</v>
      </c>
      <c r="N16" s="29" t="e">
        <f>M16/E15</f>
        <v>#DIV/0!</v>
      </c>
      <c r="O16" s="28"/>
      <c r="P16" s="28"/>
      <c r="Q16" s="28"/>
    </row>
    <row r="17" spans="1:17" s="32" customFormat="1" x14ac:dyDescent="0.35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28"/>
      <c r="P17" s="28"/>
      <c r="Q17" s="28"/>
    </row>
    <row r="19" spans="1:17" ht="29" x14ac:dyDescent="0.35">
      <c r="A19" s="2" t="s">
        <v>34</v>
      </c>
    </row>
    <row r="20" spans="1:17" ht="72.5" x14ac:dyDescent="0.35">
      <c r="A20" s="8" t="s">
        <v>42</v>
      </c>
      <c r="B20" s="4" t="s">
        <v>13</v>
      </c>
      <c r="C20" s="4" t="s">
        <v>20</v>
      </c>
      <c r="D20" s="4" t="s">
        <v>14</v>
      </c>
      <c r="E20" s="4" t="s">
        <v>6</v>
      </c>
      <c r="F20" s="4" t="s">
        <v>44</v>
      </c>
      <c r="G20" s="4" t="s">
        <v>16</v>
      </c>
      <c r="H20" s="4" t="s">
        <v>17</v>
      </c>
      <c r="I20" s="4" t="s">
        <v>18</v>
      </c>
      <c r="J20" s="4" t="s">
        <v>10</v>
      </c>
      <c r="K20" s="4" t="s">
        <v>19</v>
      </c>
      <c r="L20" s="4" t="s">
        <v>11</v>
      </c>
      <c r="M20" s="4" t="s">
        <v>35</v>
      </c>
      <c r="N20" s="4" t="s">
        <v>38</v>
      </c>
      <c r="O20" s="4" t="s">
        <v>21</v>
      </c>
      <c r="P20" s="4" t="s">
        <v>25</v>
      </c>
    </row>
    <row r="21" spans="1:17" ht="15" thickBot="1" x14ac:dyDescent="0.4">
      <c r="A21" s="5">
        <v>1</v>
      </c>
      <c r="B21" s="42"/>
      <c r="C21" s="5"/>
      <c r="D21" s="5">
        <f>SUM(H23:H24)</f>
        <v>0</v>
      </c>
      <c r="E21" s="9"/>
      <c r="F21" s="9">
        <f>SUM(F23:F26)</f>
        <v>0</v>
      </c>
      <c r="G21" s="5" t="e">
        <f>F21/D21</f>
        <v>#DIV/0!</v>
      </c>
      <c r="H21" s="5"/>
      <c r="I21" s="5"/>
      <c r="J21" s="5" t="e">
        <f>G21+H21+I21</f>
        <v>#DIV/0!</v>
      </c>
      <c r="K21" s="5" t="e">
        <f>J21*D21</f>
        <v>#DIV/0!</v>
      </c>
      <c r="L21" s="5" t="e">
        <f>L$4/E$4*D21</f>
        <v>#DIV/0!</v>
      </c>
      <c r="M21" s="5" t="e">
        <f>(J$4*D21)-K21</f>
        <v>#DIV/0!</v>
      </c>
      <c r="N21" s="5" t="e">
        <f>M21/D21</f>
        <v>#DIV/0!</v>
      </c>
      <c r="O21" s="5">
        <f>F23/2</f>
        <v>0</v>
      </c>
      <c r="P21" s="21">
        <f>F21+O21</f>
        <v>0</v>
      </c>
    </row>
    <row r="22" spans="1:17" x14ac:dyDescent="0.35">
      <c r="E22" s="60" t="s">
        <v>22</v>
      </c>
      <c r="F22" s="61"/>
      <c r="G22" s="3" t="s">
        <v>49</v>
      </c>
      <c r="H22" s="3" t="s">
        <v>50</v>
      </c>
      <c r="I22" s="3" t="s">
        <v>51</v>
      </c>
      <c r="J22" s="3" t="s">
        <v>52</v>
      </c>
      <c r="K22" s="3" t="s">
        <v>53</v>
      </c>
      <c r="L22" s="37"/>
      <c r="M22" s="37"/>
      <c r="N22" s="38"/>
      <c r="O22" s="37"/>
    </row>
    <row r="23" spans="1:17" x14ac:dyDescent="0.35">
      <c r="E23" s="10" t="s">
        <v>23</v>
      </c>
      <c r="F23" s="11">
        <f>K26</f>
        <v>0</v>
      </c>
      <c r="H23" s="43"/>
      <c r="K23" s="3">
        <f>H23*I23*J23</f>
        <v>0</v>
      </c>
      <c r="L23" s="39"/>
      <c r="M23" s="40"/>
      <c r="N23" s="39"/>
      <c r="O23" s="39"/>
    </row>
    <row r="24" spans="1:17" x14ac:dyDescent="0.35">
      <c r="E24" s="10" t="s">
        <v>47</v>
      </c>
      <c r="F24" s="11">
        <f>D21*2</f>
        <v>0</v>
      </c>
      <c r="H24" s="43"/>
      <c r="L24" s="39"/>
      <c r="M24" s="40"/>
      <c r="N24" s="39"/>
      <c r="O24" s="39"/>
    </row>
    <row r="25" spans="1:17" ht="29" x14ac:dyDescent="0.35">
      <c r="E25" s="10" t="s">
        <v>48</v>
      </c>
      <c r="F25" s="11">
        <f>D21*1</f>
        <v>0</v>
      </c>
      <c r="H25" s="43"/>
      <c r="L25" s="39"/>
      <c r="M25" s="39"/>
      <c r="N25" s="40"/>
      <c r="O25" s="41"/>
    </row>
    <row r="26" spans="1:17" ht="15" thickBot="1" x14ac:dyDescent="0.4">
      <c r="D26" s="58"/>
      <c r="E26" s="12" t="s">
        <v>24</v>
      </c>
      <c r="F26" s="13">
        <v>0</v>
      </c>
      <c r="K26" s="3">
        <f>SUM(K23:K25)</f>
        <v>0</v>
      </c>
      <c r="L26" s="39"/>
      <c r="M26" s="40"/>
      <c r="N26" s="40"/>
      <c r="O26" s="39"/>
    </row>
    <row r="27" spans="1:17" x14ac:dyDescent="0.35">
      <c r="E27" s="14"/>
      <c r="F27" s="14"/>
    </row>
  </sheetData>
  <mergeCells count="1">
    <mergeCell ref="E22:F22"/>
  </mergeCells>
  <conditionalFormatting sqref="B20:B26">
    <cfRule type="duplicateValues" dxfId="2" priority="18"/>
  </conditionalFormatting>
  <conditionalFormatting sqref="D4">
    <cfRule type="duplicateValues" dxfId="1" priority="21"/>
  </conditionalFormatting>
  <conditionalFormatting sqref="B27:B1048576 B2:B19">
    <cfRule type="duplicateValues" dxfId="0" priority="2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data-sheet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Pote</dc:creator>
  <cp:lastModifiedBy>Anupam Sunil Sharma</cp:lastModifiedBy>
  <cp:lastPrinted>2026-02-26T07:00:39Z</cp:lastPrinted>
  <dcterms:created xsi:type="dcterms:W3CDTF">2025-10-09T05:26:14Z</dcterms:created>
  <dcterms:modified xsi:type="dcterms:W3CDTF">2026-03-31T12:56:22Z</dcterms:modified>
</cp:coreProperties>
</file>